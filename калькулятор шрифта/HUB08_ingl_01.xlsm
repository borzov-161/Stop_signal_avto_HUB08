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firstSheet="14" activeTab="32"/>
  </bookViews>
  <sheets>
    <sheet name="!&quot;" sheetId="3" r:id="rId1"/>
    <sheet name="#$" sheetId="12" r:id="rId2"/>
    <sheet name="(" sheetId="14" r:id="rId3"/>
    <sheet name=")+" sheetId="15" r:id="rId4"/>
    <sheet name="-." sheetId="21" r:id="rId5"/>
    <sheet name="01" sheetId="22" r:id="rId6"/>
    <sheet name="234" sheetId="23" r:id="rId7"/>
    <sheet name="567" sheetId="24" r:id="rId8"/>
    <sheet name="89" sheetId="25" r:id="rId9"/>
    <sheet name="&lt;=" sheetId="26" r:id="rId10"/>
    <sheet name="&gt;@" sheetId="36" r:id="rId11"/>
    <sheet name="ABC" sheetId="37" r:id="rId12"/>
    <sheet name="DEF" sheetId="38" r:id="rId13"/>
    <sheet name="GHI" sheetId="47" r:id="rId14"/>
    <sheet name="JKL" sheetId="39" r:id="rId15"/>
    <sheet name="MNO" sheetId="40" r:id="rId16"/>
    <sheet name="PQR" sheetId="41" r:id="rId17"/>
    <sheet name="STU" sheetId="42" r:id="rId18"/>
    <sheet name="VWX" sheetId="43" r:id="rId19"/>
    <sheet name="YZ" sheetId="44" r:id="rId20"/>
    <sheet name="СКОБ" sheetId="53" r:id="rId21"/>
    <sheet name="_a" sheetId="54" r:id="rId22"/>
    <sheet name="bcd" sheetId="55" r:id="rId23"/>
    <sheet name="efg" sheetId="56" r:id="rId24"/>
    <sheet name="hij" sheetId="52" r:id="rId25"/>
    <sheet name="klm" sheetId="45" r:id="rId26"/>
    <sheet name="nop" sheetId="58" r:id="rId27"/>
    <sheet name="qrs" sheetId="59" r:id="rId28"/>
    <sheet name="tuv" sheetId="57" r:id="rId29"/>
    <sheet name="wxy" sheetId="60" r:id="rId30"/>
    <sheet name="z{" sheetId="61" r:id="rId31"/>
    <sheet name="}`" sheetId="46" r:id="rId32"/>
    <sheet name="итог" sheetId="48" r:id="rId33"/>
    <sheet name="оригнал" sheetId="50" r:id="rId34"/>
    <sheet name="обратка" sheetId="51" r:id="rId35"/>
    <sheet name="Лист12" sheetId="62" r:id="rId36"/>
  </sheets>
  <calcPr calcId="125725"/>
</workbook>
</file>

<file path=xl/calcChain.xml><?xml version="1.0" encoding="utf-8"?>
<calcChain xmlns="http://schemas.openxmlformats.org/spreadsheetml/2006/main">
  <c r="BW22" i="3"/>
  <c r="BF22"/>
  <c r="BC5" i="15"/>
  <c r="D22" i="3" l="1"/>
  <c r="V22"/>
  <c r="D20" i="52"/>
  <c r="D19"/>
  <c r="D18"/>
  <c r="D17"/>
  <c r="T22"/>
  <c r="P22"/>
  <c r="L22"/>
  <c r="H22"/>
  <c r="BV22" i="61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AV22" s="1"/>
  <c r="T22"/>
  <c r="S22"/>
  <c r="R22"/>
  <c r="Q22"/>
  <c r="P22"/>
  <c r="O22"/>
  <c r="N22"/>
  <c r="M22"/>
  <c r="L22"/>
  <c r="K22"/>
  <c r="J22"/>
  <c r="I22"/>
  <c r="H22"/>
  <c r="G22"/>
  <c r="E22"/>
  <c r="BW20"/>
  <c r="BY20" s="1"/>
  <c r="BF20"/>
  <c r="BE20" s="1"/>
  <c r="AV20"/>
  <c r="AX20" s="1"/>
  <c r="AE20"/>
  <c r="AC20" s="1"/>
  <c r="U20"/>
  <c r="W20" s="1"/>
  <c r="D20"/>
  <c r="BW19"/>
  <c r="BX19" s="1"/>
  <c r="BF19"/>
  <c r="BD19" s="1"/>
  <c r="AX19"/>
  <c r="AV19"/>
  <c r="AW19" s="1"/>
  <c r="AE19"/>
  <c r="AD19" s="1"/>
  <c r="AC19"/>
  <c r="U19"/>
  <c r="V19" s="1"/>
  <c r="D19"/>
  <c r="B19" s="1"/>
  <c r="C19"/>
  <c r="BW18"/>
  <c r="BX18" s="1"/>
  <c r="BF18"/>
  <c r="BD18" s="1"/>
  <c r="BE18"/>
  <c r="AV18"/>
  <c r="AW18" s="1"/>
  <c r="AE18"/>
  <c r="AC18" s="1"/>
  <c r="U18"/>
  <c r="V18" s="1"/>
  <c r="D18"/>
  <c r="B18" s="1"/>
  <c r="C18"/>
  <c r="BW17"/>
  <c r="BX17" s="1"/>
  <c r="BF17"/>
  <c r="BD17" s="1"/>
  <c r="AX17"/>
  <c r="AV17"/>
  <c r="AW17" s="1"/>
  <c r="AE17"/>
  <c r="AD17" s="1"/>
  <c r="AC17"/>
  <c r="U17"/>
  <c r="V17" s="1"/>
  <c r="D17"/>
  <c r="B17" s="1"/>
  <c r="C17"/>
  <c r="BW16"/>
  <c r="BX16" s="1"/>
  <c r="BF16"/>
  <c r="BD16" s="1"/>
  <c r="BE16"/>
  <c r="AV16"/>
  <c r="AW16" s="1"/>
  <c r="AE16"/>
  <c r="AC16" s="1"/>
  <c r="U16"/>
  <c r="V16" s="1"/>
  <c r="D16"/>
  <c r="B16" s="1"/>
  <c r="C16"/>
  <c r="BW15"/>
  <c r="BX15" s="1"/>
  <c r="BF15"/>
  <c r="BD15" s="1"/>
  <c r="AX15"/>
  <c r="AV15"/>
  <c r="AW15" s="1"/>
  <c r="AE15"/>
  <c r="AD15" s="1"/>
  <c r="AC15"/>
  <c r="U15"/>
  <c r="V15" s="1"/>
  <c r="D15"/>
  <c r="B15" s="1"/>
  <c r="C15"/>
  <c r="BW14"/>
  <c r="BX14" s="1"/>
  <c r="BF14"/>
  <c r="BD14" s="1"/>
  <c r="BE14"/>
  <c r="AV14"/>
  <c r="AW14" s="1"/>
  <c r="AE14"/>
  <c r="AC14" s="1"/>
  <c r="U14"/>
  <c r="V14" s="1"/>
  <c r="D14"/>
  <c r="B14" s="1"/>
  <c r="C14"/>
  <c r="BW13"/>
  <c r="BX13" s="1"/>
  <c r="BF13"/>
  <c r="BD13" s="1"/>
  <c r="AX13"/>
  <c r="AV13"/>
  <c r="AW13" s="1"/>
  <c r="AE13"/>
  <c r="AD13" s="1"/>
  <c r="AC13"/>
  <c r="U13"/>
  <c r="V13" s="1"/>
  <c r="D13"/>
  <c r="B13" s="1"/>
  <c r="C13"/>
  <c r="BW12"/>
  <c r="BX12" s="1"/>
  <c r="BF12"/>
  <c r="BD12" s="1"/>
  <c r="BE12"/>
  <c r="AV12"/>
  <c r="AW12" s="1"/>
  <c r="AE12"/>
  <c r="AC12" s="1"/>
  <c r="U12"/>
  <c r="V12" s="1"/>
  <c r="D12"/>
  <c r="B12" s="1"/>
  <c r="C12"/>
  <c r="BW11"/>
  <c r="BX11" s="1"/>
  <c r="BF11"/>
  <c r="BD11" s="1"/>
  <c r="AX11"/>
  <c r="AV11"/>
  <c r="AW11" s="1"/>
  <c r="AE11"/>
  <c r="AD11" s="1"/>
  <c r="AC11"/>
  <c r="U11"/>
  <c r="V11" s="1"/>
  <c r="D11"/>
  <c r="B11" s="1"/>
  <c r="C11"/>
  <c r="BW10"/>
  <c r="BX10" s="1"/>
  <c r="BF10"/>
  <c r="BD10" s="1"/>
  <c r="BE10"/>
  <c r="AV10"/>
  <c r="AW10" s="1"/>
  <c r="AE10"/>
  <c r="AC10" s="1"/>
  <c r="U10"/>
  <c r="V10" s="1"/>
  <c r="D10"/>
  <c r="B10" s="1"/>
  <c r="C10"/>
  <c r="BW9"/>
  <c r="BX9" s="1"/>
  <c r="BF9"/>
  <c r="BD9" s="1"/>
  <c r="AX9"/>
  <c r="AV9"/>
  <c r="AW9" s="1"/>
  <c r="AE9"/>
  <c r="AD9" s="1"/>
  <c r="AC9"/>
  <c r="U9"/>
  <c r="V9" s="1"/>
  <c r="D9"/>
  <c r="B9" s="1"/>
  <c r="BY8"/>
  <c r="BW8"/>
  <c r="BX8" s="1"/>
  <c r="BF8"/>
  <c r="BE8"/>
  <c r="BD8"/>
  <c r="AV8"/>
  <c r="AW8" s="1"/>
  <c r="AE8"/>
  <c r="AC8" s="1"/>
  <c r="W8"/>
  <c r="V8"/>
  <c r="U8"/>
  <c r="D8"/>
  <c r="B8" s="1"/>
  <c r="BW7"/>
  <c r="BX7" s="1"/>
  <c r="BF7"/>
  <c r="BD7" s="1"/>
  <c r="AX7"/>
  <c r="AV7"/>
  <c r="AW7" s="1"/>
  <c r="AE7"/>
  <c r="AC7" s="1"/>
  <c r="AD7"/>
  <c r="U7"/>
  <c r="V7" s="1"/>
  <c r="D7"/>
  <c r="B7" s="1"/>
  <c r="BY6"/>
  <c r="BX6"/>
  <c r="BW6"/>
  <c r="BF6"/>
  <c r="BE6"/>
  <c r="BD6"/>
  <c r="AV6"/>
  <c r="AW6" s="1"/>
  <c r="AE6"/>
  <c r="AC6" s="1"/>
  <c r="W6"/>
  <c r="V6"/>
  <c r="U6"/>
  <c r="D6"/>
  <c r="C6" s="1"/>
  <c r="BW5"/>
  <c r="BX5" s="1"/>
  <c r="BF5"/>
  <c r="BD5" s="1"/>
  <c r="AV5"/>
  <c r="AX5" s="1"/>
  <c r="AE5"/>
  <c r="AD5"/>
  <c r="AC5"/>
  <c r="U5"/>
  <c r="V5" s="1"/>
  <c r="D5"/>
  <c r="B5" s="1"/>
  <c r="BV22" i="60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E22"/>
  <c r="BX20"/>
  <c r="BW20"/>
  <c r="BY20" s="1"/>
  <c r="BF20"/>
  <c r="BE20" s="1"/>
  <c r="AV20"/>
  <c r="AX20" s="1"/>
  <c r="AE20"/>
  <c r="AC20" s="1"/>
  <c r="U20"/>
  <c r="W20" s="1"/>
  <c r="D20"/>
  <c r="BW19"/>
  <c r="BX19" s="1"/>
  <c r="BF19"/>
  <c r="BD19" s="1"/>
  <c r="AV19"/>
  <c r="AW19" s="1"/>
  <c r="AE19"/>
  <c r="AC19" s="1"/>
  <c r="U19"/>
  <c r="V19" s="1"/>
  <c r="D19"/>
  <c r="B19" s="1"/>
  <c r="BY18"/>
  <c r="BW18"/>
  <c r="BX18" s="1"/>
  <c r="BF18"/>
  <c r="BD18" s="1"/>
  <c r="AV18"/>
  <c r="AW18" s="1"/>
  <c r="AE18"/>
  <c r="AC18" s="1"/>
  <c r="AD18"/>
  <c r="U18"/>
  <c r="V18" s="1"/>
  <c r="D18"/>
  <c r="B18" s="1"/>
  <c r="BW17"/>
  <c r="BX17" s="1"/>
  <c r="BF17"/>
  <c r="BD17" s="1"/>
  <c r="BE17"/>
  <c r="AV17"/>
  <c r="AW17" s="1"/>
  <c r="AE17"/>
  <c r="AC17" s="1"/>
  <c r="U17"/>
  <c r="V17" s="1"/>
  <c r="D17"/>
  <c r="B17" s="1"/>
  <c r="BW16"/>
  <c r="BX16" s="1"/>
  <c r="BF16"/>
  <c r="BE16"/>
  <c r="BD16"/>
  <c r="AV16"/>
  <c r="AW16" s="1"/>
  <c r="AE16"/>
  <c r="AC16" s="1"/>
  <c r="W16"/>
  <c r="U16"/>
  <c r="V16" s="1"/>
  <c r="D16"/>
  <c r="B16" s="1"/>
  <c r="C16"/>
  <c r="BW15"/>
  <c r="BX15" s="1"/>
  <c r="BF15"/>
  <c r="BD15" s="1"/>
  <c r="AV15"/>
  <c r="AW15" s="1"/>
  <c r="AE15"/>
  <c r="AD15"/>
  <c r="AC15"/>
  <c r="U15"/>
  <c r="V15" s="1"/>
  <c r="D15"/>
  <c r="B15" s="1"/>
  <c r="BW14"/>
  <c r="BX14" s="1"/>
  <c r="BF14"/>
  <c r="BE14"/>
  <c r="BD14"/>
  <c r="AV14"/>
  <c r="AW14" s="1"/>
  <c r="AE14"/>
  <c r="AC14" s="1"/>
  <c r="W14"/>
  <c r="U14"/>
  <c r="V14" s="1"/>
  <c r="D14"/>
  <c r="B14" s="1"/>
  <c r="C14"/>
  <c r="BW13"/>
  <c r="BX13" s="1"/>
  <c r="BF13"/>
  <c r="BD13" s="1"/>
  <c r="AX13"/>
  <c r="AV13"/>
  <c r="AW13" s="1"/>
  <c r="AE13"/>
  <c r="AC13" s="1"/>
  <c r="AD13"/>
  <c r="U13"/>
  <c r="V13" s="1"/>
  <c r="D13"/>
  <c r="B13" s="1"/>
  <c r="BY12"/>
  <c r="BW12"/>
  <c r="BX12" s="1"/>
  <c r="BF12"/>
  <c r="BE12"/>
  <c r="BD12"/>
  <c r="AV12"/>
  <c r="AW12" s="1"/>
  <c r="AE12"/>
  <c r="AC12" s="1"/>
  <c r="W12"/>
  <c r="U12"/>
  <c r="V12" s="1"/>
  <c r="D12"/>
  <c r="B12" s="1"/>
  <c r="C12"/>
  <c r="BW11"/>
  <c r="BX11" s="1"/>
  <c r="BF11"/>
  <c r="BD11" s="1"/>
  <c r="AV11"/>
  <c r="AW11" s="1"/>
  <c r="AE11"/>
  <c r="AD11"/>
  <c r="AC11"/>
  <c r="U11"/>
  <c r="V11" s="1"/>
  <c r="D11"/>
  <c r="B11" s="1"/>
  <c r="BY10"/>
  <c r="BX10"/>
  <c r="BW10"/>
  <c r="BF10"/>
  <c r="BE10"/>
  <c r="BD10"/>
  <c r="AV10"/>
  <c r="AW10" s="1"/>
  <c r="AE10"/>
  <c r="AC10" s="1"/>
  <c r="W10"/>
  <c r="U10"/>
  <c r="V10" s="1"/>
  <c r="D10"/>
  <c r="B10" s="1"/>
  <c r="C10"/>
  <c r="BW9"/>
  <c r="BX9" s="1"/>
  <c r="BF9"/>
  <c r="BD9" s="1"/>
  <c r="AX9"/>
  <c r="AV9"/>
  <c r="AW9" s="1"/>
  <c r="AE9"/>
  <c r="AC9" s="1"/>
  <c r="AD9"/>
  <c r="U9"/>
  <c r="V9" s="1"/>
  <c r="D9"/>
  <c r="B9" s="1"/>
  <c r="BY8"/>
  <c r="BX8"/>
  <c r="BW8"/>
  <c r="BF8"/>
  <c r="BE8"/>
  <c r="BD8"/>
  <c r="AV8"/>
  <c r="AW8" s="1"/>
  <c r="AE8"/>
  <c r="AC8" s="1"/>
  <c r="W8"/>
  <c r="U8"/>
  <c r="V8" s="1"/>
  <c r="D8"/>
  <c r="B8" s="1"/>
  <c r="C8"/>
  <c r="BW7"/>
  <c r="BX7" s="1"/>
  <c r="BF7"/>
  <c r="BD7" s="1"/>
  <c r="AV7"/>
  <c r="AW7" s="1"/>
  <c r="AE7"/>
  <c r="AD7"/>
  <c r="AC7"/>
  <c r="U7"/>
  <c r="V7" s="1"/>
  <c r="D7"/>
  <c r="B7" s="1"/>
  <c r="BY6"/>
  <c r="BX6"/>
  <c r="BW6"/>
  <c r="BF6"/>
  <c r="BE6"/>
  <c r="BD6"/>
  <c r="AV6"/>
  <c r="AW6" s="1"/>
  <c r="AE6"/>
  <c r="AC6" s="1"/>
  <c r="W6"/>
  <c r="U6"/>
  <c r="V6" s="1"/>
  <c r="D6"/>
  <c r="B6" s="1"/>
  <c r="C6"/>
  <c r="BW5"/>
  <c r="BX5" s="1"/>
  <c r="BF5"/>
  <c r="BD5" s="1"/>
  <c r="AX5"/>
  <c r="AV5"/>
  <c r="AW5" s="1"/>
  <c r="AE5"/>
  <c r="AC5" s="1"/>
  <c r="AD5"/>
  <c r="U5"/>
  <c r="V5" s="1"/>
  <c r="D5"/>
  <c r="B5" s="1"/>
  <c r="BV22" i="59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E22"/>
  <c r="BW20"/>
  <c r="BX20" s="1"/>
  <c r="BF20"/>
  <c r="BD20" s="1"/>
  <c r="AV20"/>
  <c r="AW20" s="1"/>
  <c r="AE20"/>
  <c r="AC20" s="1"/>
  <c r="U20"/>
  <c r="V20" s="1"/>
  <c r="D20"/>
  <c r="BY19"/>
  <c r="BW19"/>
  <c r="BX19" s="1"/>
  <c r="BF19"/>
  <c r="BD19" s="1"/>
  <c r="AV19"/>
  <c r="AX19" s="1"/>
  <c r="AE19"/>
  <c r="AD19" s="1"/>
  <c r="AC19"/>
  <c r="U19"/>
  <c r="V19" s="1"/>
  <c r="D19"/>
  <c r="B19" s="1"/>
  <c r="BW18"/>
  <c r="BY18" s="1"/>
  <c r="BF18"/>
  <c r="BD18" s="1"/>
  <c r="AV18"/>
  <c r="AW18" s="1"/>
  <c r="AE18"/>
  <c r="AC18" s="1"/>
  <c r="U18"/>
  <c r="W18" s="1"/>
  <c r="D18"/>
  <c r="B18" s="1"/>
  <c r="BW17"/>
  <c r="BX17" s="1"/>
  <c r="BF17"/>
  <c r="BD17" s="1"/>
  <c r="BE17"/>
  <c r="AV17"/>
  <c r="AX17" s="1"/>
  <c r="AE17"/>
  <c r="AD17" s="1"/>
  <c r="AC17"/>
  <c r="U17"/>
  <c r="V17" s="1"/>
  <c r="D17"/>
  <c r="B17" s="1"/>
  <c r="BW16"/>
  <c r="BY16" s="1"/>
  <c r="BF16"/>
  <c r="BD16" s="1"/>
  <c r="AV16"/>
  <c r="AW16" s="1"/>
  <c r="AE16"/>
  <c r="AC16" s="1"/>
  <c r="U16"/>
  <c r="W16" s="1"/>
  <c r="D16"/>
  <c r="B16" s="1"/>
  <c r="BY15"/>
  <c r="BW15"/>
  <c r="BX15" s="1"/>
  <c r="BF15"/>
  <c r="BD15" s="1"/>
  <c r="AV15"/>
  <c r="AX15" s="1"/>
  <c r="AE15"/>
  <c r="AD15" s="1"/>
  <c r="AC15"/>
  <c r="U15"/>
  <c r="V15" s="1"/>
  <c r="D15"/>
  <c r="B15" s="1"/>
  <c r="BW14"/>
  <c r="BY14" s="1"/>
  <c r="BF14"/>
  <c r="BE14" s="1"/>
  <c r="BD14"/>
  <c r="AV14"/>
  <c r="AW14" s="1"/>
  <c r="AE14"/>
  <c r="AC14" s="1"/>
  <c r="U14"/>
  <c r="W14" s="1"/>
  <c r="D14"/>
  <c r="B14" s="1"/>
  <c r="C14"/>
  <c r="BY13"/>
  <c r="BW13"/>
  <c r="BX13" s="1"/>
  <c r="BF13"/>
  <c r="BD13" s="1"/>
  <c r="AV13"/>
  <c r="AX13" s="1"/>
  <c r="AE13"/>
  <c r="AD13"/>
  <c r="AC13"/>
  <c r="U13"/>
  <c r="V13" s="1"/>
  <c r="D13"/>
  <c r="B13" s="1"/>
  <c r="BW12"/>
  <c r="BY12" s="1"/>
  <c r="BF12"/>
  <c r="BD12" s="1"/>
  <c r="AX12"/>
  <c r="AV12"/>
  <c r="AW12" s="1"/>
  <c r="AE12"/>
  <c r="AC12" s="1"/>
  <c r="U12"/>
  <c r="W12" s="1"/>
  <c r="D12"/>
  <c r="B12" s="1"/>
  <c r="BW11"/>
  <c r="BX11" s="1"/>
  <c r="BF11"/>
  <c r="BD11" s="1"/>
  <c r="BE11"/>
  <c r="AV11"/>
  <c r="AX11" s="1"/>
  <c r="AE11"/>
  <c r="AD11"/>
  <c r="AC11"/>
  <c r="U11"/>
  <c r="V11" s="1"/>
  <c r="D11"/>
  <c r="B11" s="1"/>
  <c r="BW10"/>
  <c r="BY10" s="1"/>
  <c r="BF10"/>
  <c r="BD10" s="1"/>
  <c r="AX10"/>
  <c r="AV10"/>
  <c r="AW10" s="1"/>
  <c r="AE10"/>
  <c r="AC10" s="1"/>
  <c r="U10"/>
  <c r="W10" s="1"/>
  <c r="D10"/>
  <c r="B10" s="1"/>
  <c r="BY9"/>
  <c r="BW9"/>
  <c r="BX9" s="1"/>
  <c r="BF9"/>
  <c r="BD9" s="1"/>
  <c r="AV9"/>
  <c r="AX9" s="1"/>
  <c r="AE9"/>
  <c r="AD9"/>
  <c r="AC9"/>
  <c r="U9"/>
  <c r="V9" s="1"/>
  <c r="D9"/>
  <c r="B9" s="1"/>
  <c r="BW8"/>
  <c r="BY8" s="1"/>
  <c r="BF8"/>
  <c r="BE8"/>
  <c r="BD8"/>
  <c r="AX8"/>
  <c r="AV8"/>
  <c r="AW8" s="1"/>
  <c r="AE8"/>
  <c r="AC8" s="1"/>
  <c r="U8"/>
  <c r="W8" s="1"/>
  <c r="D8"/>
  <c r="C8" s="1"/>
  <c r="BW7"/>
  <c r="BX7" s="1"/>
  <c r="BF7"/>
  <c r="BD7" s="1"/>
  <c r="BE7"/>
  <c r="AV7"/>
  <c r="AX7" s="1"/>
  <c r="AE7"/>
  <c r="AD7"/>
  <c r="AC7"/>
  <c r="U7"/>
  <c r="V7" s="1"/>
  <c r="D7"/>
  <c r="B7" s="1"/>
  <c r="BW6"/>
  <c r="BY6" s="1"/>
  <c r="BF6"/>
  <c r="BE6" s="1"/>
  <c r="BD6"/>
  <c r="AX6"/>
  <c r="AV6"/>
  <c r="AW6" s="1"/>
  <c r="AE6"/>
  <c r="AC6" s="1"/>
  <c r="U6"/>
  <c r="W6" s="1"/>
  <c r="D6"/>
  <c r="B6" s="1"/>
  <c r="BY5"/>
  <c r="BW5"/>
  <c r="BX5" s="1"/>
  <c r="BF5"/>
  <c r="BD5" s="1"/>
  <c r="AV5"/>
  <c r="AX5" s="1"/>
  <c r="AE5"/>
  <c r="AD5"/>
  <c r="AC5"/>
  <c r="U5"/>
  <c r="V5" s="1"/>
  <c r="D5"/>
  <c r="B5" s="1"/>
  <c r="BV22" i="58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E22"/>
  <c r="BW20"/>
  <c r="BY20" s="1"/>
  <c r="BF20"/>
  <c r="BE20" s="1"/>
  <c r="AV20"/>
  <c r="AX20" s="1"/>
  <c r="AE20"/>
  <c r="AC20" s="1"/>
  <c r="V20"/>
  <c r="U20"/>
  <c r="W20" s="1"/>
  <c r="D20"/>
  <c r="BW19"/>
  <c r="BX19" s="1"/>
  <c r="BF19"/>
  <c r="BD19" s="1"/>
  <c r="BE19"/>
  <c r="AX19"/>
  <c r="AV19"/>
  <c r="AW19" s="1"/>
  <c r="AE19"/>
  <c r="AD19" s="1"/>
  <c r="AC19"/>
  <c r="U19"/>
  <c r="V19" s="1"/>
  <c r="D19"/>
  <c r="B19" s="1"/>
  <c r="BW18"/>
  <c r="BX18" s="1"/>
  <c r="BF18"/>
  <c r="BE18"/>
  <c r="BD18"/>
  <c r="AV18"/>
  <c r="AW18" s="1"/>
  <c r="AE18"/>
  <c r="AC18" s="1"/>
  <c r="W18"/>
  <c r="U18"/>
  <c r="V18" s="1"/>
  <c r="D18"/>
  <c r="B18" s="1"/>
  <c r="BW17"/>
  <c r="BX17" s="1"/>
  <c r="BF17"/>
  <c r="BD17" s="1"/>
  <c r="AX17"/>
  <c r="AV17"/>
  <c r="AW17" s="1"/>
  <c r="AE17"/>
  <c r="AD17"/>
  <c r="AC17"/>
  <c r="U17"/>
  <c r="V17" s="1"/>
  <c r="D17"/>
  <c r="B17" s="1"/>
  <c r="BW16"/>
  <c r="BX16" s="1"/>
  <c r="BF16"/>
  <c r="BE16"/>
  <c r="BD16"/>
  <c r="AV16"/>
  <c r="AW16" s="1"/>
  <c r="AE16"/>
  <c r="AC16" s="1"/>
  <c r="W16"/>
  <c r="U16"/>
  <c r="V16" s="1"/>
  <c r="D16"/>
  <c r="B16" s="1"/>
  <c r="BW15"/>
  <c r="BX15" s="1"/>
  <c r="BF15"/>
  <c r="BD15" s="1"/>
  <c r="AX15"/>
  <c r="AV15"/>
  <c r="AW15" s="1"/>
  <c r="AE15"/>
  <c r="AC15" s="1"/>
  <c r="AD15"/>
  <c r="U15"/>
  <c r="V15" s="1"/>
  <c r="D15"/>
  <c r="B15" s="1"/>
  <c r="BY14"/>
  <c r="BW14"/>
  <c r="BX14" s="1"/>
  <c r="BF14"/>
  <c r="BE14" s="1"/>
  <c r="BD14"/>
  <c r="AV14"/>
  <c r="AW14" s="1"/>
  <c r="AE14"/>
  <c r="AC14" s="1"/>
  <c r="AD14"/>
  <c r="U14"/>
  <c r="V14" s="1"/>
  <c r="D14"/>
  <c r="B14" s="1"/>
  <c r="BW13"/>
  <c r="BX13" s="1"/>
  <c r="BF13"/>
  <c r="BD13" s="1"/>
  <c r="BE13"/>
  <c r="AX13"/>
  <c r="AV13"/>
  <c r="AW13" s="1"/>
  <c r="AE13"/>
  <c r="AC13" s="1"/>
  <c r="AD13"/>
  <c r="U13"/>
  <c r="V13" s="1"/>
  <c r="D13"/>
  <c r="B13" s="1"/>
  <c r="BW12"/>
  <c r="BX12" s="1"/>
  <c r="BF12"/>
  <c r="BD12" s="1"/>
  <c r="BE12"/>
  <c r="AV12"/>
  <c r="AW12" s="1"/>
  <c r="AE12"/>
  <c r="AC12" s="1"/>
  <c r="AD12"/>
  <c r="U12"/>
  <c r="V12" s="1"/>
  <c r="D12"/>
  <c r="B12" s="1"/>
  <c r="BW11"/>
  <c r="BX11" s="1"/>
  <c r="BF11"/>
  <c r="BD11" s="1"/>
  <c r="AX11"/>
  <c r="AV11"/>
  <c r="AW11" s="1"/>
  <c r="AE11"/>
  <c r="AD11" s="1"/>
  <c r="AC11"/>
  <c r="U11"/>
  <c r="V11" s="1"/>
  <c r="D11"/>
  <c r="B11" s="1"/>
  <c r="BY10"/>
  <c r="BW10"/>
  <c r="BX10" s="1"/>
  <c r="BF10"/>
  <c r="BD10" s="1"/>
  <c r="AV10"/>
  <c r="AW10" s="1"/>
  <c r="AE10"/>
  <c r="AC10" s="1"/>
  <c r="U10"/>
  <c r="V10" s="1"/>
  <c r="D10"/>
  <c r="B10" s="1"/>
  <c r="BW9"/>
  <c r="BX9" s="1"/>
  <c r="BF9"/>
  <c r="BD9" s="1"/>
  <c r="AV9"/>
  <c r="AW9" s="1"/>
  <c r="AE9"/>
  <c r="AC9" s="1"/>
  <c r="AD9"/>
  <c r="U9"/>
  <c r="V9" s="1"/>
  <c r="D9"/>
  <c r="B9" s="1"/>
  <c r="BW8"/>
  <c r="BY8" s="1"/>
  <c r="BF8"/>
  <c r="BE8"/>
  <c r="BD8"/>
  <c r="AV8"/>
  <c r="AW8" s="1"/>
  <c r="AE8"/>
  <c r="AC8" s="1"/>
  <c r="W8"/>
  <c r="U8"/>
  <c r="V8" s="1"/>
  <c r="D8"/>
  <c r="C8" s="1"/>
  <c r="BW7"/>
  <c r="BX7" s="1"/>
  <c r="BF7"/>
  <c r="BD7" s="1"/>
  <c r="AW7"/>
  <c r="AV7"/>
  <c r="AX7" s="1"/>
  <c r="AE7"/>
  <c r="AD7" s="1"/>
  <c r="AC7"/>
  <c r="U7"/>
  <c r="V7" s="1"/>
  <c r="D7"/>
  <c r="B7" s="1"/>
  <c r="BX6"/>
  <c r="BW6"/>
  <c r="BY6" s="1"/>
  <c r="BF6"/>
  <c r="BD6" s="1"/>
  <c r="AV6"/>
  <c r="AW6" s="1"/>
  <c r="AE6"/>
  <c r="AC6" s="1"/>
  <c r="U6"/>
  <c r="W6" s="1"/>
  <c r="D6"/>
  <c r="C6" s="1"/>
  <c r="BW5"/>
  <c r="BX5" s="1"/>
  <c r="BF5"/>
  <c r="BD5" s="1"/>
  <c r="AW5"/>
  <c r="AV5"/>
  <c r="AX5" s="1"/>
  <c r="AE5"/>
  <c r="AD5" s="1"/>
  <c r="AC5"/>
  <c r="U5"/>
  <c r="V5" s="1"/>
  <c r="D5"/>
  <c r="B5" s="1"/>
  <c r="BT22" i="57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AV22" s="1"/>
  <c r="T22"/>
  <c r="S22"/>
  <c r="R22"/>
  <c r="Q22"/>
  <c r="P22"/>
  <c r="O22"/>
  <c r="N22"/>
  <c r="M22"/>
  <c r="L22"/>
  <c r="K22"/>
  <c r="J22"/>
  <c r="I22"/>
  <c r="H22"/>
  <c r="G22"/>
  <c r="E22"/>
  <c r="BF20"/>
  <c r="BE20" s="1"/>
  <c r="AW20"/>
  <c r="AV20"/>
  <c r="AX20" s="1"/>
  <c r="AE20"/>
  <c r="AC20" s="1"/>
  <c r="U20"/>
  <c r="W20" s="1"/>
  <c r="D20"/>
  <c r="BF19"/>
  <c r="BD19" s="1"/>
  <c r="AV19"/>
  <c r="AW19" s="1"/>
  <c r="AE19"/>
  <c r="AC19" s="1"/>
  <c r="U19"/>
  <c r="V19" s="1"/>
  <c r="D19"/>
  <c r="B19" s="1"/>
  <c r="C19"/>
  <c r="BF18"/>
  <c r="BD18" s="1"/>
  <c r="AV18"/>
  <c r="AW18" s="1"/>
  <c r="AE18"/>
  <c r="AC18" s="1"/>
  <c r="U18"/>
  <c r="V18" s="1"/>
  <c r="D18"/>
  <c r="B18" s="1"/>
  <c r="C18"/>
  <c r="BF17"/>
  <c r="BD17" s="1"/>
  <c r="AX17"/>
  <c r="AV17"/>
  <c r="AW17" s="1"/>
  <c r="AE17"/>
  <c r="AD17"/>
  <c r="AC17"/>
  <c r="U17"/>
  <c r="V17" s="1"/>
  <c r="D17"/>
  <c r="B17" s="1"/>
  <c r="C17"/>
  <c r="BF16"/>
  <c r="BE16" s="1"/>
  <c r="AV16"/>
  <c r="AW16" s="1"/>
  <c r="AE16"/>
  <c r="AC16" s="1"/>
  <c r="AD16"/>
  <c r="U16"/>
  <c r="V16" s="1"/>
  <c r="D16"/>
  <c r="C16" s="1"/>
  <c r="BF15"/>
  <c r="BD15" s="1"/>
  <c r="BE15"/>
  <c r="AV15"/>
  <c r="AW15" s="1"/>
  <c r="AE15"/>
  <c r="AC15" s="1"/>
  <c r="AD15"/>
  <c r="U15"/>
  <c r="V15" s="1"/>
  <c r="D15"/>
  <c r="B15" s="1"/>
  <c r="BF14"/>
  <c r="BD14" s="1"/>
  <c r="AV14"/>
  <c r="AW14" s="1"/>
  <c r="AE14"/>
  <c r="AC14" s="1"/>
  <c r="W14"/>
  <c r="U14"/>
  <c r="V14" s="1"/>
  <c r="D14"/>
  <c r="B14" s="1"/>
  <c r="BF13"/>
  <c r="BD13" s="1"/>
  <c r="AV13"/>
  <c r="AW13" s="1"/>
  <c r="AE13"/>
  <c r="AC13" s="1"/>
  <c r="AD13"/>
  <c r="U13"/>
  <c r="V13" s="1"/>
  <c r="D13"/>
  <c r="B13" s="1"/>
  <c r="BF12"/>
  <c r="BE12" s="1"/>
  <c r="AV12"/>
  <c r="AW12" s="1"/>
  <c r="AE12"/>
  <c r="AC12" s="1"/>
  <c r="W12"/>
  <c r="V12"/>
  <c r="U12"/>
  <c r="D12"/>
  <c r="B12" s="1"/>
  <c r="BF11"/>
  <c r="BD11" s="1"/>
  <c r="AX11"/>
  <c r="AW11"/>
  <c r="AV11"/>
  <c r="AE11"/>
  <c r="AD11"/>
  <c r="AC11"/>
  <c r="U11"/>
  <c r="V11" s="1"/>
  <c r="D11"/>
  <c r="B11" s="1"/>
  <c r="BF10"/>
  <c r="BD10" s="1"/>
  <c r="AV10"/>
  <c r="AW10" s="1"/>
  <c r="AE10"/>
  <c r="AC10" s="1"/>
  <c r="W10"/>
  <c r="V10"/>
  <c r="U10"/>
  <c r="D10"/>
  <c r="B10" s="1"/>
  <c r="BF9"/>
  <c r="BD9" s="1"/>
  <c r="AV9"/>
  <c r="AW9" s="1"/>
  <c r="AE9"/>
  <c r="AC9" s="1"/>
  <c r="U9"/>
  <c r="V9" s="1"/>
  <c r="D9"/>
  <c r="B9" s="1"/>
  <c r="BF8"/>
  <c r="BE8" s="1"/>
  <c r="BD8"/>
  <c r="BW8" s="1"/>
  <c r="AV8"/>
  <c r="AW8" s="1"/>
  <c r="AE8"/>
  <c r="AC8" s="1"/>
  <c r="W8"/>
  <c r="U8"/>
  <c r="V8" s="1"/>
  <c r="D8"/>
  <c r="B8" s="1"/>
  <c r="BF7"/>
  <c r="BD7" s="1"/>
  <c r="AW7"/>
  <c r="AV7"/>
  <c r="AX7" s="1"/>
  <c r="AE7"/>
  <c r="AD7" s="1"/>
  <c r="AC7"/>
  <c r="U7"/>
  <c r="V7" s="1"/>
  <c r="D7"/>
  <c r="B7" s="1"/>
  <c r="BF6"/>
  <c r="BE6"/>
  <c r="BD6"/>
  <c r="AV6"/>
  <c r="AW6" s="1"/>
  <c r="AE6"/>
  <c r="AC6" s="1"/>
  <c r="U6"/>
  <c r="V6" s="1"/>
  <c r="D6"/>
  <c r="B6" s="1"/>
  <c r="BF5"/>
  <c r="BD5" s="1"/>
  <c r="AW5"/>
  <c r="AV5"/>
  <c r="AX5" s="1"/>
  <c r="AE5"/>
  <c r="AD5" s="1"/>
  <c r="AC5"/>
  <c r="U5"/>
  <c r="V5" s="1"/>
  <c r="D5"/>
  <c r="B5" s="1"/>
  <c r="BV22" i="56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E22"/>
  <c r="BW20"/>
  <c r="BX20" s="1"/>
  <c r="BF20"/>
  <c r="BD20" s="1"/>
  <c r="AV20"/>
  <c r="AW20" s="1"/>
  <c r="AE20"/>
  <c r="AC20" s="1"/>
  <c r="U20"/>
  <c r="V20" s="1"/>
  <c r="D20"/>
  <c r="BW19"/>
  <c r="BX19" s="1"/>
  <c r="BF19"/>
  <c r="BD19" s="1"/>
  <c r="AV19"/>
  <c r="AX19" s="1"/>
  <c r="AE19"/>
  <c r="AD19" s="1"/>
  <c r="AC19"/>
  <c r="W19"/>
  <c r="U19"/>
  <c r="V19" s="1"/>
  <c r="D19"/>
  <c r="B19" s="1"/>
  <c r="BW18"/>
  <c r="BY18" s="1"/>
  <c r="BF18"/>
  <c r="BE18" s="1"/>
  <c r="AV18"/>
  <c r="AW18" s="1"/>
  <c r="AE18"/>
  <c r="AC18" s="1"/>
  <c r="AD18"/>
  <c r="U18"/>
  <c r="W18" s="1"/>
  <c r="D18"/>
  <c r="C18" s="1"/>
  <c r="BY17"/>
  <c r="BW17"/>
  <c r="BX17" s="1"/>
  <c r="BF17"/>
  <c r="BD17" s="1"/>
  <c r="BE17"/>
  <c r="AV17"/>
  <c r="AX17" s="1"/>
  <c r="AE17"/>
  <c r="AD17" s="1"/>
  <c r="U17"/>
  <c r="V17" s="1"/>
  <c r="D17"/>
  <c r="B17" s="1"/>
  <c r="BW16"/>
  <c r="BY16" s="1"/>
  <c r="BF16"/>
  <c r="BE16" s="1"/>
  <c r="AX16"/>
  <c r="AW16"/>
  <c r="AV16"/>
  <c r="AE16"/>
  <c r="AC16" s="1"/>
  <c r="AD16"/>
  <c r="U16"/>
  <c r="W16" s="1"/>
  <c r="D16"/>
  <c r="C16" s="1"/>
  <c r="B16"/>
  <c r="BX15"/>
  <c r="BW15"/>
  <c r="BY15" s="1"/>
  <c r="BF15"/>
  <c r="BD15" s="1"/>
  <c r="AV15"/>
  <c r="AX15" s="1"/>
  <c r="AE15"/>
  <c r="AD15" s="1"/>
  <c r="AC15"/>
  <c r="U15"/>
  <c r="V15" s="1"/>
  <c r="D15"/>
  <c r="B15" s="1"/>
  <c r="BW14"/>
  <c r="BY14" s="1"/>
  <c r="BF14"/>
  <c r="BE14" s="1"/>
  <c r="AV14"/>
  <c r="AW14" s="1"/>
  <c r="AE14"/>
  <c r="AC14" s="1"/>
  <c r="AD14"/>
  <c r="U14"/>
  <c r="W14" s="1"/>
  <c r="D14"/>
  <c r="C14" s="1"/>
  <c r="B14"/>
  <c r="BW13"/>
  <c r="BX13" s="1"/>
  <c r="BF13"/>
  <c r="BD13" s="1"/>
  <c r="AV13"/>
  <c r="AX13" s="1"/>
  <c r="AE13"/>
  <c r="AD13" s="1"/>
  <c r="U13"/>
  <c r="V13" s="1"/>
  <c r="D13"/>
  <c r="B13" s="1"/>
  <c r="BW12"/>
  <c r="BY12" s="1"/>
  <c r="BF12"/>
  <c r="BE12" s="1"/>
  <c r="AW12"/>
  <c r="AV12"/>
  <c r="AX12" s="1"/>
  <c r="AE12"/>
  <c r="AC12" s="1"/>
  <c r="U12"/>
  <c r="W12" s="1"/>
  <c r="D12"/>
  <c r="C12" s="1"/>
  <c r="B12"/>
  <c r="BY11"/>
  <c r="BX11"/>
  <c r="BW11"/>
  <c r="BF11"/>
  <c r="BD11" s="1"/>
  <c r="BE11"/>
  <c r="AV11"/>
  <c r="AX11" s="1"/>
  <c r="AE11"/>
  <c r="AD11" s="1"/>
  <c r="AC11"/>
  <c r="U11"/>
  <c r="V11" s="1"/>
  <c r="D11"/>
  <c r="B11" s="1"/>
  <c r="BW10"/>
  <c r="BY10" s="1"/>
  <c r="BF10"/>
  <c r="BE10" s="1"/>
  <c r="BD10"/>
  <c r="AX10"/>
  <c r="AV10"/>
  <c r="AW10" s="1"/>
  <c r="AE10"/>
  <c r="AC10" s="1"/>
  <c r="AD10"/>
  <c r="U10"/>
  <c r="W10" s="1"/>
  <c r="D10"/>
  <c r="C10" s="1"/>
  <c r="B10"/>
  <c r="BY9"/>
  <c r="BX9"/>
  <c r="BW9"/>
  <c r="BF9"/>
  <c r="BD9" s="1"/>
  <c r="BE9"/>
  <c r="AV9"/>
  <c r="AX9" s="1"/>
  <c r="AE9"/>
  <c r="AD9" s="1"/>
  <c r="U9"/>
  <c r="V9" s="1"/>
  <c r="D9"/>
  <c r="B9" s="1"/>
  <c r="BW8"/>
  <c r="BY8" s="1"/>
  <c r="BF8"/>
  <c r="BE8" s="1"/>
  <c r="AX8"/>
  <c r="AW8"/>
  <c r="AV8"/>
  <c r="AE8"/>
  <c r="AC8" s="1"/>
  <c r="U8"/>
  <c r="W8" s="1"/>
  <c r="D8"/>
  <c r="C8" s="1"/>
  <c r="BW7"/>
  <c r="BX7" s="1"/>
  <c r="BF7"/>
  <c r="BD7" s="1"/>
  <c r="AV7"/>
  <c r="AX7" s="1"/>
  <c r="AE7"/>
  <c r="AD7" s="1"/>
  <c r="U7"/>
  <c r="V7" s="1"/>
  <c r="D7"/>
  <c r="B7" s="1"/>
  <c r="BW6"/>
  <c r="BY6" s="1"/>
  <c r="BF6"/>
  <c r="BE6" s="1"/>
  <c r="AX6"/>
  <c r="AW6"/>
  <c r="AV6"/>
  <c r="AE6"/>
  <c r="AC6" s="1"/>
  <c r="AD6"/>
  <c r="U6"/>
  <c r="W6" s="1"/>
  <c r="D6"/>
  <c r="C6" s="1"/>
  <c r="BY5"/>
  <c r="BX5"/>
  <c r="BW5"/>
  <c r="BF5"/>
  <c r="BD5" s="1"/>
  <c r="AV5"/>
  <c r="AX5" s="1"/>
  <c r="AE5"/>
  <c r="AD5" s="1"/>
  <c r="U5"/>
  <c r="V5" s="1"/>
  <c r="D5"/>
  <c r="B5" s="1"/>
  <c r="BV22" i="55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C20" s="1"/>
  <c r="U20"/>
  <c r="V20" s="1"/>
  <c r="D20"/>
  <c r="C20" s="1"/>
  <c r="BW19"/>
  <c r="BY19" s="1"/>
  <c r="BF19"/>
  <c r="BD19" s="1"/>
  <c r="AX19"/>
  <c r="AV19"/>
  <c r="AW19" s="1"/>
  <c r="AE19"/>
  <c r="AD19" s="1"/>
  <c r="AC19"/>
  <c r="U19"/>
  <c r="W19" s="1"/>
  <c r="D19"/>
  <c r="B19" s="1"/>
  <c r="BY18"/>
  <c r="BX18"/>
  <c r="BW18"/>
  <c r="BF18"/>
  <c r="BE18" s="1"/>
  <c r="BD18"/>
  <c r="AW18"/>
  <c r="AV18"/>
  <c r="AX18" s="1"/>
  <c r="AE18"/>
  <c r="AC18" s="1"/>
  <c r="U18"/>
  <c r="V18" s="1"/>
  <c r="D18"/>
  <c r="C18" s="1"/>
  <c r="BW17"/>
  <c r="BY17" s="1"/>
  <c r="BF17"/>
  <c r="BD17" s="1"/>
  <c r="AX17"/>
  <c r="AV17"/>
  <c r="AW17" s="1"/>
  <c r="AE17"/>
  <c r="AD17" s="1"/>
  <c r="AC17"/>
  <c r="U17"/>
  <c r="W17" s="1"/>
  <c r="D17"/>
  <c r="B17" s="1"/>
  <c r="BY16"/>
  <c r="BX16"/>
  <c r="BW16"/>
  <c r="BF16"/>
  <c r="BE16" s="1"/>
  <c r="BD16"/>
  <c r="AW16"/>
  <c r="AV16"/>
  <c r="AX16" s="1"/>
  <c r="AE16"/>
  <c r="AC16" s="1"/>
  <c r="U16"/>
  <c r="V16" s="1"/>
  <c r="D16"/>
  <c r="C16" s="1"/>
  <c r="BX15"/>
  <c r="BW15"/>
  <c r="BY15" s="1"/>
  <c r="BF15"/>
  <c r="BD15" s="1"/>
  <c r="AX15"/>
  <c r="AV15"/>
  <c r="AW15" s="1"/>
  <c r="AE15"/>
  <c r="AD15" s="1"/>
  <c r="AC15"/>
  <c r="U15"/>
  <c r="V15" s="1"/>
  <c r="D15"/>
  <c r="B15" s="1"/>
  <c r="BX14"/>
  <c r="BW14"/>
  <c r="BY14" s="1"/>
  <c r="BF14"/>
  <c r="BE14" s="1"/>
  <c r="BD14"/>
  <c r="AV14"/>
  <c r="AW14" s="1"/>
  <c r="AE14"/>
  <c r="AC14" s="1"/>
  <c r="W14"/>
  <c r="U14"/>
  <c r="V14" s="1"/>
  <c r="D14"/>
  <c r="B14" s="1"/>
  <c r="BW13"/>
  <c r="BX13" s="1"/>
  <c r="BF13"/>
  <c r="BD13" s="1"/>
  <c r="AX13"/>
  <c r="AV13"/>
  <c r="AW13" s="1"/>
  <c r="AE13"/>
  <c r="AD13"/>
  <c r="AC13"/>
  <c r="U13"/>
  <c r="V13" s="1"/>
  <c r="D13"/>
  <c r="B13" s="1"/>
  <c r="BX12"/>
  <c r="BW12"/>
  <c r="BY12" s="1"/>
  <c r="BF12"/>
  <c r="BE12" s="1"/>
  <c r="BD12"/>
  <c r="AV12"/>
  <c r="AW12" s="1"/>
  <c r="AE12"/>
  <c r="AC12" s="1"/>
  <c r="W12"/>
  <c r="U12"/>
  <c r="V12" s="1"/>
  <c r="D12"/>
  <c r="B12" s="1"/>
  <c r="BW11"/>
  <c r="BX11" s="1"/>
  <c r="BF11"/>
  <c r="BD11" s="1"/>
  <c r="AX11"/>
  <c r="AW11"/>
  <c r="AV11"/>
  <c r="AE11"/>
  <c r="AC11" s="1"/>
  <c r="U11"/>
  <c r="V11" s="1"/>
  <c r="D11"/>
  <c r="B11" s="1"/>
  <c r="BW10"/>
  <c r="BY10" s="1"/>
  <c r="BF10"/>
  <c r="BD10" s="1"/>
  <c r="BE10"/>
  <c r="AV10"/>
  <c r="AW10" s="1"/>
  <c r="AE10"/>
  <c r="AC10" s="1"/>
  <c r="W10"/>
  <c r="U10"/>
  <c r="V10" s="1"/>
  <c r="D10"/>
  <c r="B10" s="1"/>
  <c r="BW9"/>
  <c r="BX9" s="1"/>
  <c r="BF9"/>
  <c r="BD9" s="1"/>
  <c r="AV9"/>
  <c r="AX9" s="1"/>
  <c r="AE9"/>
  <c r="AC9" s="1"/>
  <c r="AD9"/>
  <c r="U9"/>
  <c r="V9" s="1"/>
  <c r="D9"/>
  <c r="B9" s="1"/>
  <c r="BY8"/>
  <c r="BW8"/>
  <c r="BX8" s="1"/>
  <c r="BF8"/>
  <c r="BE8"/>
  <c r="BD8"/>
  <c r="AV8"/>
  <c r="AW8" s="1"/>
  <c r="AE8"/>
  <c r="AC8" s="1"/>
  <c r="W8"/>
  <c r="U8"/>
  <c r="V8" s="1"/>
  <c r="D8"/>
  <c r="B8" s="1"/>
  <c r="BW7"/>
  <c r="BX7" s="1"/>
  <c r="BF7"/>
  <c r="BD7" s="1"/>
  <c r="AW7"/>
  <c r="AV7"/>
  <c r="AX7" s="1"/>
  <c r="AE7"/>
  <c r="AD7" s="1"/>
  <c r="AC7"/>
  <c r="U7"/>
  <c r="V7" s="1"/>
  <c r="D7"/>
  <c r="B7" s="1"/>
  <c r="BX6"/>
  <c r="BW6"/>
  <c r="BY6" s="1"/>
  <c r="BF6"/>
  <c r="BE6" s="1"/>
  <c r="BD6"/>
  <c r="AV6"/>
  <c r="AW6" s="1"/>
  <c r="AE6"/>
  <c r="AC6" s="1"/>
  <c r="U6"/>
  <c r="V6" s="1"/>
  <c r="D6"/>
  <c r="B6" s="1"/>
  <c r="BW5"/>
  <c r="BX5" s="1"/>
  <c r="BF5"/>
  <c r="BD5" s="1"/>
  <c r="AW5"/>
  <c r="AV5"/>
  <c r="AX5" s="1"/>
  <c r="AE5"/>
  <c r="AD5" s="1"/>
  <c r="AC5"/>
  <c r="U5"/>
  <c r="V5" s="1"/>
  <c r="D5"/>
  <c r="B5" s="1"/>
  <c r="BV22" i="54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AV22" s="1"/>
  <c r="T22"/>
  <c r="S22"/>
  <c r="R22"/>
  <c r="Q22"/>
  <c r="P22"/>
  <c r="O22"/>
  <c r="N22"/>
  <c r="M22"/>
  <c r="L22"/>
  <c r="K22"/>
  <c r="J22"/>
  <c r="I22"/>
  <c r="H22"/>
  <c r="G22"/>
  <c r="E22"/>
  <c r="BW20"/>
  <c r="BX20" s="1"/>
  <c r="BF20"/>
  <c r="BD20" s="1"/>
  <c r="AV20"/>
  <c r="AW20" s="1"/>
  <c r="AE20"/>
  <c r="AC20" s="1"/>
  <c r="AD20"/>
  <c r="U20"/>
  <c r="V20" s="1"/>
  <c r="D20"/>
  <c r="BW19"/>
  <c r="BX19" s="1"/>
  <c r="BF19"/>
  <c r="BD19" s="1"/>
  <c r="BE19"/>
  <c r="AV19"/>
  <c r="AX19" s="1"/>
  <c r="AE19"/>
  <c r="AC19" s="1"/>
  <c r="AD19"/>
  <c r="W19"/>
  <c r="U19"/>
  <c r="V19" s="1"/>
  <c r="D19"/>
  <c r="B19" s="1"/>
  <c r="BW18"/>
  <c r="BY18" s="1"/>
  <c r="BF18"/>
  <c r="BE18" s="1"/>
  <c r="BD18"/>
  <c r="AV18"/>
  <c r="AW18" s="1"/>
  <c r="AE18"/>
  <c r="AC18" s="1"/>
  <c r="AD18"/>
  <c r="U18"/>
  <c r="W18" s="1"/>
  <c r="D18"/>
  <c r="B18" s="1"/>
  <c r="C18"/>
  <c r="BW17"/>
  <c r="BX17" s="1"/>
  <c r="BF17"/>
  <c r="BD17" s="1"/>
  <c r="BE17"/>
  <c r="AV17"/>
  <c r="AX17" s="1"/>
  <c r="AE17"/>
  <c r="AD17"/>
  <c r="AC17"/>
  <c r="W17"/>
  <c r="U17"/>
  <c r="V17" s="1"/>
  <c r="D17"/>
  <c r="B17" s="1"/>
  <c r="BW16"/>
  <c r="BY16" s="1"/>
  <c r="BF16"/>
  <c r="BE16"/>
  <c r="BD16"/>
  <c r="AV16"/>
  <c r="AW16" s="1"/>
  <c r="AE16"/>
  <c r="AC16" s="1"/>
  <c r="AD16"/>
  <c r="U16"/>
  <c r="W16" s="1"/>
  <c r="D16"/>
  <c r="B16" s="1"/>
  <c r="C16"/>
  <c r="BY15"/>
  <c r="BW15"/>
  <c r="BX15" s="1"/>
  <c r="BF15"/>
  <c r="BD15" s="1"/>
  <c r="AV15"/>
  <c r="AX15" s="1"/>
  <c r="AE15"/>
  <c r="AC15" s="1"/>
  <c r="AD15"/>
  <c r="W15"/>
  <c r="U15"/>
  <c r="V15" s="1"/>
  <c r="D15"/>
  <c r="B15" s="1"/>
  <c r="BW14"/>
  <c r="BY14" s="1"/>
  <c r="BF14"/>
  <c r="BE14"/>
  <c r="BD14"/>
  <c r="AV14"/>
  <c r="AW14" s="1"/>
  <c r="AE14"/>
  <c r="AC14" s="1"/>
  <c r="AD14"/>
  <c r="U14"/>
  <c r="W14" s="1"/>
  <c r="D14"/>
  <c r="B14" s="1"/>
  <c r="C14"/>
  <c r="BY13"/>
  <c r="BW13"/>
  <c r="BX13" s="1"/>
  <c r="BF13"/>
  <c r="BD13" s="1"/>
  <c r="AV13"/>
  <c r="AX13" s="1"/>
  <c r="AE13"/>
  <c r="AD13"/>
  <c r="AC13"/>
  <c r="W13"/>
  <c r="U13"/>
  <c r="V13" s="1"/>
  <c r="D13"/>
  <c r="B13" s="1"/>
  <c r="BW12"/>
  <c r="BY12" s="1"/>
  <c r="BF12"/>
  <c r="BE12" s="1"/>
  <c r="AV12"/>
  <c r="AW12" s="1"/>
  <c r="AE12"/>
  <c r="AC12" s="1"/>
  <c r="AD12"/>
  <c r="U12"/>
  <c r="W12" s="1"/>
  <c r="D12"/>
  <c r="B12" s="1"/>
  <c r="C12"/>
  <c r="BW11"/>
  <c r="BX11" s="1"/>
  <c r="BF11"/>
  <c r="BD11" s="1"/>
  <c r="BE11"/>
  <c r="AV11"/>
  <c r="AX11" s="1"/>
  <c r="AE11"/>
  <c r="AC11" s="1"/>
  <c r="AD11"/>
  <c r="W11"/>
  <c r="U11"/>
  <c r="V11" s="1"/>
  <c r="D11"/>
  <c r="B11" s="1"/>
  <c r="BW10"/>
  <c r="BY10" s="1"/>
  <c r="BF10"/>
  <c r="BE10" s="1"/>
  <c r="AV10"/>
  <c r="AW10" s="1"/>
  <c r="AE10"/>
  <c r="AC10" s="1"/>
  <c r="AD10"/>
  <c r="U10"/>
  <c r="W10" s="1"/>
  <c r="D10"/>
  <c r="B10" s="1"/>
  <c r="BY9"/>
  <c r="BW9"/>
  <c r="BX9" s="1"/>
  <c r="BF9"/>
  <c r="BD9" s="1"/>
  <c r="AV9"/>
  <c r="AX9" s="1"/>
  <c r="AE9"/>
  <c r="AD9" s="1"/>
  <c r="AC9"/>
  <c r="W9"/>
  <c r="U9"/>
  <c r="V9" s="1"/>
  <c r="D9"/>
  <c r="B9" s="1"/>
  <c r="BW8"/>
  <c r="BY8" s="1"/>
  <c r="BF8"/>
  <c r="BE8"/>
  <c r="BD8"/>
  <c r="AX8"/>
  <c r="AV8"/>
  <c r="AW8" s="1"/>
  <c r="AE8"/>
  <c r="AC8" s="1"/>
  <c r="U8"/>
  <c r="W8" s="1"/>
  <c r="D8"/>
  <c r="C8" s="1"/>
  <c r="BW7"/>
  <c r="BX7" s="1"/>
  <c r="BF7"/>
  <c r="BD7" s="1"/>
  <c r="BE7"/>
  <c r="AV7"/>
  <c r="AX7" s="1"/>
  <c r="AE7"/>
  <c r="AD7"/>
  <c r="AC7"/>
  <c r="W7"/>
  <c r="U7"/>
  <c r="V7" s="1"/>
  <c r="D7"/>
  <c r="B7" s="1"/>
  <c r="BW6"/>
  <c r="BY6" s="1"/>
  <c r="BF6"/>
  <c r="BE6"/>
  <c r="BD6"/>
  <c r="AV6"/>
  <c r="AW6" s="1"/>
  <c r="AE6"/>
  <c r="AC6" s="1"/>
  <c r="AD6"/>
  <c r="U6"/>
  <c r="W6" s="1"/>
  <c r="D6"/>
  <c r="B6" s="1"/>
  <c r="BW5"/>
  <c r="BX5" s="1"/>
  <c r="BF5"/>
  <c r="BD5" s="1"/>
  <c r="BE5"/>
  <c r="AV5"/>
  <c r="AX5" s="1"/>
  <c r="AE5"/>
  <c r="AC5" s="1"/>
  <c r="W5"/>
  <c r="U5"/>
  <c r="V5" s="1"/>
  <c r="D5"/>
  <c r="C5" s="1"/>
  <c r="BV22" i="53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AV22" s="1"/>
  <c r="T22"/>
  <c r="S22"/>
  <c r="R22"/>
  <c r="Q22"/>
  <c r="P22"/>
  <c r="O22"/>
  <c r="N22"/>
  <c r="M22"/>
  <c r="L22"/>
  <c r="K22"/>
  <c r="J22"/>
  <c r="I22"/>
  <c r="H22"/>
  <c r="G22"/>
  <c r="F22"/>
  <c r="E22"/>
  <c r="U22" s="1"/>
  <c r="BW20"/>
  <c r="BX20" s="1"/>
  <c r="BF20"/>
  <c r="BD20" s="1"/>
  <c r="AV20"/>
  <c r="AW20" s="1"/>
  <c r="AE20"/>
  <c r="AD20" s="1"/>
  <c r="U20"/>
  <c r="V20" s="1"/>
  <c r="D20"/>
  <c r="B20" s="1"/>
  <c r="BY19"/>
  <c r="BW19"/>
  <c r="BX19" s="1"/>
  <c r="BF19"/>
  <c r="BD19" s="1"/>
  <c r="BE19"/>
  <c r="AV19"/>
  <c r="AW19" s="1"/>
  <c r="AE19"/>
  <c r="AC19" s="1"/>
  <c r="U19"/>
  <c r="V19" s="1"/>
  <c r="D19"/>
  <c r="B19" s="1"/>
  <c r="BW18"/>
  <c r="BX18" s="1"/>
  <c r="BF18"/>
  <c r="BD18" s="1"/>
  <c r="AX18"/>
  <c r="AW18"/>
  <c r="AV18"/>
  <c r="AE18"/>
  <c r="AD18" s="1"/>
  <c r="AC18"/>
  <c r="U18"/>
  <c r="V18" s="1"/>
  <c r="D18"/>
  <c r="B18" s="1"/>
  <c r="BY17"/>
  <c r="BX17"/>
  <c r="BW17"/>
  <c r="BF17"/>
  <c r="BE17"/>
  <c r="BD17"/>
  <c r="AV17"/>
  <c r="AW17" s="1"/>
  <c r="AE17"/>
  <c r="AC17" s="1"/>
  <c r="U17"/>
  <c r="V17" s="1"/>
  <c r="D17"/>
  <c r="B17" s="1"/>
  <c r="BW16"/>
  <c r="BX16" s="1"/>
  <c r="BF16"/>
  <c r="BD16" s="1"/>
  <c r="AW16"/>
  <c r="AV16"/>
  <c r="AX16" s="1"/>
  <c r="AE16"/>
  <c r="AD16" s="1"/>
  <c r="AC16"/>
  <c r="U16"/>
  <c r="V16" s="1"/>
  <c r="D16"/>
  <c r="B16" s="1"/>
  <c r="BX15"/>
  <c r="BW15"/>
  <c r="BY15" s="1"/>
  <c r="BF15"/>
  <c r="BD15" s="1"/>
  <c r="AV15"/>
  <c r="AW15" s="1"/>
  <c r="AE15"/>
  <c r="AD15" s="1"/>
  <c r="AC15"/>
  <c r="U15"/>
  <c r="V15" s="1"/>
  <c r="D15"/>
  <c r="B15" s="1"/>
  <c r="BW14"/>
  <c r="BX14" s="1"/>
  <c r="BF14"/>
  <c r="BE14" s="1"/>
  <c r="AX14"/>
  <c r="AV14"/>
  <c r="AW14" s="1"/>
  <c r="AE14"/>
  <c r="AC14" s="1"/>
  <c r="AD14"/>
  <c r="U14"/>
  <c r="V14" s="1"/>
  <c r="D14"/>
  <c r="C14" s="1"/>
  <c r="B14"/>
  <c r="BW13"/>
  <c r="BX13" s="1"/>
  <c r="BF13"/>
  <c r="BD13" s="1"/>
  <c r="AV13"/>
  <c r="AW13" s="1"/>
  <c r="AE13"/>
  <c r="AD13" s="1"/>
  <c r="U13"/>
  <c r="V13" s="1"/>
  <c r="D13"/>
  <c r="C13" s="1"/>
  <c r="BW12"/>
  <c r="BX12" s="1"/>
  <c r="BF12"/>
  <c r="BE12" s="1"/>
  <c r="BD12"/>
  <c r="AX12"/>
  <c r="AW12"/>
  <c r="AV12"/>
  <c r="AE12"/>
  <c r="AD12" s="1"/>
  <c r="V12"/>
  <c r="U12"/>
  <c r="W12" s="1"/>
  <c r="D12"/>
  <c r="C12" s="1"/>
  <c r="B12"/>
  <c r="BW11"/>
  <c r="BX11" s="1"/>
  <c r="BF11"/>
  <c r="BE11" s="1"/>
  <c r="AV11"/>
  <c r="AX11" s="1"/>
  <c r="AE11"/>
  <c r="AD11" s="1"/>
  <c r="AC11"/>
  <c r="W11"/>
  <c r="U11"/>
  <c r="V11" s="1"/>
  <c r="D11"/>
  <c r="C11" s="1"/>
  <c r="BW10"/>
  <c r="BY10" s="1"/>
  <c r="BF10"/>
  <c r="BE10" s="1"/>
  <c r="BD10"/>
  <c r="AX10"/>
  <c r="AV10"/>
  <c r="AW10" s="1"/>
  <c r="AE10"/>
  <c r="AD10" s="1"/>
  <c r="V10"/>
  <c r="U10"/>
  <c r="W10" s="1"/>
  <c r="D10"/>
  <c r="C10" s="1"/>
  <c r="B10"/>
  <c r="BW9"/>
  <c r="BY9" s="1"/>
  <c r="BF9"/>
  <c r="BD9" s="1"/>
  <c r="AW9"/>
  <c r="AV9"/>
  <c r="AX9" s="1"/>
  <c r="AE9"/>
  <c r="AD9" s="1"/>
  <c r="W9"/>
  <c r="U9"/>
  <c r="V9" s="1"/>
  <c r="D9"/>
  <c r="B9" s="1"/>
  <c r="BX8"/>
  <c r="BW8"/>
  <c r="BY8" s="1"/>
  <c r="BF8"/>
  <c r="BE8" s="1"/>
  <c r="AW8"/>
  <c r="AV8"/>
  <c r="AX8" s="1"/>
  <c r="AE8"/>
  <c r="AC8" s="1"/>
  <c r="V8"/>
  <c r="U8"/>
  <c r="W8" s="1"/>
  <c r="D8"/>
  <c r="C8" s="1"/>
  <c r="B8"/>
  <c r="BY7"/>
  <c r="BX7"/>
  <c r="BW7"/>
  <c r="BF7"/>
  <c r="BD7" s="1"/>
  <c r="AV7"/>
  <c r="AX7" s="1"/>
  <c r="AE7"/>
  <c r="AD7" s="1"/>
  <c r="AC7"/>
  <c r="W7"/>
  <c r="U7"/>
  <c r="V7" s="1"/>
  <c r="D7"/>
  <c r="C7" s="1"/>
  <c r="BW6"/>
  <c r="BY6" s="1"/>
  <c r="BF6"/>
  <c r="BE6" s="1"/>
  <c r="BD6"/>
  <c r="AV6"/>
  <c r="AW6" s="1"/>
  <c r="AE6"/>
  <c r="AC6" s="1"/>
  <c r="V6"/>
  <c r="U6"/>
  <c r="W6" s="1"/>
  <c r="D6"/>
  <c r="C6" s="1"/>
  <c r="B6"/>
  <c r="BY5"/>
  <c r="BX5"/>
  <c r="BW5"/>
  <c r="BF5"/>
  <c r="BD5" s="1"/>
  <c r="AW5"/>
  <c r="AV5"/>
  <c r="AX5" s="1"/>
  <c r="AE5"/>
  <c r="AD5" s="1"/>
  <c r="W5"/>
  <c r="U5"/>
  <c r="V5" s="1"/>
  <c r="D5"/>
  <c r="B5" s="1"/>
  <c r="BV22" i="52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S22"/>
  <c r="R22"/>
  <c r="Q22"/>
  <c r="O22"/>
  <c r="N22"/>
  <c r="M22"/>
  <c r="K22"/>
  <c r="J22"/>
  <c r="I22"/>
  <c r="G22"/>
  <c r="E22"/>
  <c r="BW20"/>
  <c r="BY20" s="1"/>
  <c r="BF20"/>
  <c r="BE20" s="1"/>
  <c r="BD20"/>
  <c r="AV20"/>
  <c r="AX20" s="1"/>
  <c r="AE20"/>
  <c r="AC20" s="1"/>
  <c r="BW19"/>
  <c r="BX19" s="1"/>
  <c r="BF19"/>
  <c r="BD19" s="1"/>
  <c r="AX19"/>
  <c r="AV19"/>
  <c r="AW19" s="1"/>
  <c r="AE19"/>
  <c r="AD19"/>
  <c r="AC19"/>
  <c r="BW18"/>
  <c r="BX18" s="1"/>
  <c r="BF18"/>
  <c r="BE18"/>
  <c r="BD18"/>
  <c r="AV18"/>
  <c r="AW18" s="1"/>
  <c r="AE18"/>
  <c r="AC18" s="1"/>
  <c r="AD18"/>
  <c r="BW17"/>
  <c r="BX17" s="1"/>
  <c r="BF17"/>
  <c r="BD17" s="1"/>
  <c r="AX17"/>
  <c r="AV17"/>
  <c r="AW17" s="1"/>
  <c r="AE17"/>
  <c r="AD17"/>
  <c r="AC17"/>
  <c r="BW16"/>
  <c r="BX16" s="1"/>
  <c r="BF16"/>
  <c r="BE16"/>
  <c r="BD16"/>
  <c r="AV16"/>
  <c r="AW16" s="1"/>
  <c r="AE16"/>
  <c r="AC16" s="1"/>
  <c r="D16"/>
  <c r="B16" s="1"/>
  <c r="BW15"/>
  <c r="BX15" s="1"/>
  <c r="BF15"/>
  <c r="BD15" s="1"/>
  <c r="AX15"/>
  <c r="AW15"/>
  <c r="AV15"/>
  <c r="AE15"/>
  <c r="AD15"/>
  <c r="AC15"/>
  <c r="D15"/>
  <c r="B15" s="1"/>
  <c r="BY14"/>
  <c r="BW14"/>
  <c r="BX14" s="1"/>
  <c r="BF14"/>
  <c r="BD14" s="1"/>
  <c r="BE14"/>
  <c r="AV14"/>
  <c r="AW14" s="1"/>
  <c r="AE14"/>
  <c r="AC14" s="1"/>
  <c r="D14"/>
  <c r="B14" s="1"/>
  <c r="BW13"/>
  <c r="BX13" s="1"/>
  <c r="BF13"/>
  <c r="BD13" s="1"/>
  <c r="AV13"/>
  <c r="AW13" s="1"/>
  <c r="AE13"/>
  <c r="AC13" s="1"/>
  <c r="D13"/>
  <c r="B13" s="1"/>
  <c r="BW12"/>
  <c r="BY12" s="1"/>
  <c r="BF12"/>
  <c r="BE12"/>
  <c r="BD12"/>
  <c r="AV12"/>
  <c r="AW12" s="1"/>
  <c r="AE12"/>
  <c r="AC12" s="1"/>
  <c r="D12"/>
  <c r="B12" s="1"/>
  <c r="BW11"/>
  <c r="BX11" s="1"/>
  <c r="BF11"/>
  <c r="BD11" s="1"/>
  <c r="AX11"/>
  <c r="AW11"/>
  <c r="AV11"/>
  <c r="AE11"/>
  <c r="AD11"/>
  <c r="AC11"/>
  <c r="D11"/>
  <c r="B11" s="1"/>
  <c r="BY10"/>
  <c r="BW10"/>
  <c r="BX10" s="1"/>
  <c r="BF10"/>
  <c r="BD10" s="1"/>
  <c r="BE10"/>
  <c r="AV10"/>
  <c r="AW10" s="1"/>
  <c r="AE10"/>
  <c r="AC10" s="1"/>
  <c r="D10"/>
  <c r="B10" s="1"/>
  <c r="BW9"/>
  <c r="BX9" s="1"/>
  <c r="BF9"/>
  <c r="BD9" s="1"/>
  <c r="AV9"/>
  <c r="AW9" s="1"/>
  <c r="AE9"/>
  <c r="AC9" s="1"/>
  <c r="D9"/>
  <c r="B9" s="1"/>
  <c r="BW8"/>
  <c r="BY8" s="1"/>
  <c r="BF8"/>
  <c r="BE8"/>
  <c r="BD8"/>
  <c r="AV8"/>
  <c r="AW8" s="1"/>
  <c r="AE8"/>
  <c r="AC8" s="1"/>
  <c r="D8"/>
  <c r="B8" s="1"/>
  <c r="BW7"/>
  <c r="BX7" s="1"/>
  <c r="BF7"/>
  <c r="BD7" s="1"/>
  <c r="AX7"/>
  <c r="AW7"/>
  <c r="AV7"/>
  <c r="AE7"/>
  <c r="AD7"/>
  <c r="AC7"/>
  <c r="D7"/>
  <c r="B7" s="1"/>
  <c r="BY6"/>
  <c r="BW6"/>
  <c r="BX6" s="1"/>
  <c r="BF6"/>
  <c r="BE6" s="1"/>
  <c r="AV6"/>
  <c r="AW6" s="1"/>
  <c r="AE6"/>
  <c r="AC6" s="1"/>
  <c r="D6"/>
  <c r="B6" s="1"/>
  <c r="BW5"/>
  <c r="BX5" s="1"/>
  <c r="BF5"/>
  <c r="BD5" s="1"/>
  <c r="AV5"/>
  <c r="AW5" s="1"/>
  <c r="AE5"/>
  <c r="AC5" s="1"/>
  <c r="D5"/>
  <c r="B5" s="1"/>
  <c r="CC4" i="51"/>
  <c r="CE3" s="1"/>
  <c r="DC21"/>
  <c r="DC22"/>
  <c r="CL21"/>
  <c r="CL22"/>
  <c r="T22"/>
  <c r="S22"/>
  <c r="R22"/>
  <c r="Q22"/>
  <c r="P22"/>
  <c r="O22"/>
  <c r="N22"/>
  <c r="F22"/>
  <c r="U20"/>
  <c r="W20" s="1"/>
  <c r="D20"/>
  <c r="B20" s="1"/>
  <c r="U19"/>
  <c r="V19" s="1"/>
  <c r="D19"/>
  <c r="B19" s="1"/>
  <c r="U18"/>
  <c r="W18" s="1"/>
  <c r="D18"/>
  <c r="B18" s="1"/>
  <c r="U17"/>
  <c r="V17" s="1"/>
  <c r="D17"/>
  <c r="B17" s="1"/>
  <c r="U16"/>
  <c r="V16" s="1"/>
  <c r="D16"/>
  <c r="B16" s="1"/>
  <c r="U15"/>
  <c r="V15" s="1"/>
  <c r="D15"/>
  <c r="B15" s="1"/>
  <c r="U14"/>
  <c r="V14" s="1"/>
  <c r="D14"/>
  <c r="B14" s="1"/>
  <c r="U13"/>
  <c r="V13" s="1"/>
  <c r="D13"/>
  <c r="B13" s="1"/>
  <c r="U12"/>
  <c r="V12" s="1"/>
  <c r="D12"/>
  <c r="B12" s="1"/>
  <c r="U11"/>
  <c r="V11" s="1"/>
  <c r="D11"/>
  <c r="B11" s="1"/>
  <c r="U10"/>
  <c r="V10" s="1"/>
  <c r="D10"/>
  <c r="B10" s="1"/>
  <c r="U9"/>
  <c r="V9" s="1"/>
  <c r="D9"/>
  <c r="B9" s="1"/>
  <c r="U8"/>
  <c r="V8" s="1"/>
  <c r="D8"/>
  <c r="B8" s="1"/>
  <c r="U7"/>
  <c r="V7" s="1"/>
  <c r="D7"/>
  <c r="B7" s="1"/>
  <c r="U6"/>
  <c r="V6" s="1"/>
  <c r="D6"/>
  <c r="B6" s="1"/>
  <c r="BV22" i="47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X20" s="1"/>
  <c r="AE20"/>
  <c r="AC20" s="1"/>
  <c r="U20"/>
  <c r="V20" s="1"/>
  <c r="D20"/>
  <c r="B20" s="1"/>
  <c r="BW19"/>
  <c r="BX19" s="1"/>
  <c r="BF19"/>
  <c r="BD19" s="1"/>
  <c r="BE19"/>
  <c r="AV19"/>
  <c r="AW19" s="1"/>
  <c r="AE19"/>
  <c r="AC19" s="1"/>
  <c r="W19"/>
  <c r="U19"/>
  <c r="V19" s="1"/>
  <c r="D19"/>
  <c r="C19" s="1"/>
  <c r="BW18"/>
  <c r="BX18" s="1"/>
  <c r="BF18"/>
  <c r="BD18" s="1"/>
  <c r="AV18"/>
  <c r="AX18" s="1"/>
  <c r="AE18"/>
  <c r="AD18" s="1"/>
  <c r="U18"/>
  <c r="V18" s="1"/>
  <c r="D18"/>
  <c r="B18" s="1"/>
  <c r="BW17"/>
  <c r="BY17" s="1"/>
  <c r="BF17"/>
  <c r="BE17" s="1"/>
  <c r="BD17"/>
  <c r="AV17"/>
  <c r="AW17" s="1"/>
  <c r="AE17"/>
  <c r="AC17" s="1"/>
  <c r="U17"/>
  <c r="V17" s="1"/>
  <c r="D17"/>
  <c r="C17" s="1"/>
  <c r="BW16"/>
  <c r="BX16" s="1"/>
  <c r="BF16"/>
  <c r="BD16" s="1"/>
  <c r="AV16"/>
  <c r="AW16" s="1"/>
  <c r="AE16"/>
  <c r="AD16"/>
  <c r="AC16"/>
  <c r="U16"/>
  <c r="V16" s="1"/>
  <c r="D16"/>
  <c r="B16" s="1"/>
  <c r="BW15"/>
  <c r="BX15" s="1"/>
  <c r="BF15"/>
  <c r="BD15" s="1"/>
  <c r="AV15"/>
  <c r="AW15" s="1"/>
  <c r="AE15"/>
  <c r="AC15" s="1"/>
  <c r="U15"/>
  <c r="V15" s="1"/>
  <c r="D15"/>
  <c r="C15" s="1"/>
  <c r="BW14"/>
  <c r="BX14" s="1"/>
  <c r="BF14"/>
  <c r="BD14" s="1"/>
  <c r="AV14"/>
  <c r="AW14" s="1"/>
  <c r="AE14"/>
  <c r="AD14" s="1"/>
  <c r="U14"/>
  <c r="V14" s="1"/>
  <c r="D14"/>
  <c r="B14" s="1"/>
  <c r="BW13"/>
  <c r="BX13" s="1"/>
  <c r="BF13"/>
  <c r="BD13" s="1"/>
  <c r="BE13"/>
  <c r="AV13"/>
  <c r="AW13" s="1"/>
  <c r="AE13"/>
  <c r="AC13" s="1"/>
  <c r="U13"/>
  <c r="V13" s="1"/>
  <c r="D13"/>
  <c r="C13" s="1"/>
  <c r="BW12"/>
  <c r="BX12" s="1"/>
  <c r="BF12"/>
  <c r="BD12" s="1"/>
  <c r="AV12"/>
  <c r="AX12" s="1"/>
  <c r="AE12"/>
  <c r="AC12" s="1"/>
  <c r="AD12"/>
  <c r="U12"/>
  <c r="V12" s="1"/>
  <c r="D12"/>
  <c r="B12" s="1"/>
  <c r="BY11"/>
  <c r="BW11"/>
  <c r="BX11" s="1"/>
  <c r="BF11"/>
  <c r="BD11" s="1"/>
  <c r="AV11"/>
  <c r="AW11" s="1"/>
  <c r="AE11"/>
  <c r="AC11" s="1"/>
  <c r="W11"/>
  <c r="U11"/>
  <c r="V11" s="1"/>
  <c r="D11"/>
  <c r="B11" s="1"/>
  <c r="BW10"/>
  <c r="BX10" s="1"/>
  <c r="BF10"/>
  <c r="BD10" s="1"/>
  <c r="AV10"/>
  <c r="AX10" s="1"/>
  <c r="AE10"/>
  <c r="AD10" s="1"/>
  <c r="U10"/>
  <c r="V10" s="1"/>
  <c r="D10"/>
  <c r="B10" s="1"/>
  <c r="BX9"/>
  <c r="BW9"/>
  <c r="BY9" s="1"/>
  <c r="BF9"/>
  <c r="BE9" s="1"/>
  <c r="AV9"/>
  <c r="AW9" s="1"/>
  <c r="AE9"/>
  <c r="AC9" s="1"/>
  <c r="U9"/>
  <c r="W9" s="1"/>
  <c r="D9"/>
  <c r="C9" s="1"/>
  <c r="BW8"/>
  <c r="BX8" s="1"/>
  <c r="BF8"/>
  <c r="BD8" s="1"/>
  <c r="AV8"/>
  <c r="AX8" s="1"/>
  <c r="AE8"/>
  <c r="AD8" s="1"/>
  <c r="U8"/>
  <c r="V8" s="1"/>
  <c r="D8"/>
  <c r="B8" s="1"/>
  <c r="BY7"/>
  <c r="BW7"/>
  <c r="BX7" s="1"/>
  <c r="BF7"/>
  <c r="BD7" s="1"/>
  <c r="AV7"/>
  <c r="AW7" s="1"/>
  <c r="AE7"/>
  <c r="AC7" s="1"/>
  <c r="U7"/>
  <c r="W7" s="1"/>
  <c r="D7"/>
  <c r="C7" s="1"/>
  <c r="BW6"/>
  <c r="BX6" s="1"/>
  <c r="BF6"/>
  <c r="BD6" s="1"/>
  <c r="AV6"/>
  <c r="AX6" s="1"/>
  <c r="AE6"/>
  <c r="AD6" s="1"/>
  <c r="U6"/>
  <c r="V6" s="1"/>
  <c r="D6"/>
  <c r="B6" s="1"/>
  <c r="BW5"/>
  <c r="BY5" s="1"/>
  <c r="BF5"/>
  <c r="BE5" s="1"/>
  <c r="AV5"/>
  <c r="AW5" s="1"/>
  <c r="AE5"/>
  <c r="AC5" s="1"/>
  <c r="U5"/>
  <c r="W5" s="1"/>
  <c r="D5"/>
  <c r="B5" s="1"/>
  <c r="V20" i="60" l="1"/>
  <c r="BX20" i="61"/>
  <c r="AW20"/>
  <c r="BD20" i="58"/>
  <c r="AD20" i="55"/>
  <c r="BE20"/>
  <c r="AC20" i="53"/>
  <c r="AX20"/>
  <c r="BE9" i="61"/>
  <c r="BY10"/>
  <c r="BE11"/>
  <c r="BY12"/>
  <c r="BE13"/>
  <c r="BY14"/>
  <c r="BE15"/>
  <c r="BY16"/>
  <c r="BE17"/>
  <c r="BY18"/>
  <c r="BE19"/>
  <c r="BD20"/>
  <c r="AW5"/>
  <c r="AD12"/>
  <c r="AD16"/>
  <c r="AD10"/>
  <c r="AD14"/>
  <c r="AD18"/>
  <c r="B6"/>
  <c r="W10"/>
  <c r="W12"/>
  <c r="W14"/>
  <c r="W16"/>
  <c r="W18"/>
  <c r="C8"/>
  <c r="V20"/>
  <c r="BE18" i="60"/>
  <c r="BE19"/>
  <c r="BD20"/>
  <c r="BY14"/>
  <c r="BY16"/>
  <c r="AD17"/>
  <c r="AD19"/>
  <c r="AW20"/>
  <c r="AV22"/>
  <c r="AX7"/>
  <c r="AX11"/>
  <c r="AX15"/>
  <c r="AX17"/>
  <c r="AX19"/>
  <c r="C17"/>
  <c r="C18"/>
  <c r="C19"/>
  <c r="W18"/>
  <c r="BD12" i="57"/>
  <c r="BD16"/>
  <c r="BW16" s="1"/>
  <c r="BY16" s="1"/>
  <c r="BE18"/>
  <c r="BW6"/>
  <c r="BW12"/>
  <c r="BW15"/>
  <c r="BX15" s="1"/>
  <c r="BU22"/>
  <c r="BX8"/>
  <c r="BY8"/>
  <c r="BW18"/>
  <c r="BE17"/>
  <c r="BW17" s="1"/>
  <c r="BE10"/>
  <c r="BW10" s="1"/>
  <c r="BE14"/>
  <c r="BW14" s="1"/>
  <c r="BE19"/>
  <c r="BW19" s="1"/>
  <c r="BD20"/>
  <c r="BW20" s="1"/>
  <c r="AD9"/>
  <c r="AX9"/>
  <c r="AX13"/>
  <c r="AX15"/>
  <c r="AD18"/>
  <c r="AD19"/>
  <c r="AX19"/>
  <c r="B16"/>
  <c r="W16"/>
  <c r="W18"/>
  <c r="C6"/>
  <c r="W6"/>
  <c r="C8"/>
  <c r="C10"/>
  <c r="C12"/>
  <c r="C14"/>
  <c r="V20"/>
  <c r="C15"/>
  <c r="BE5" i="59"/>
  <c r="BE10"/>
  <c r="BY11"/>
  <c r="BE13"/>
  <c r="BE18"/>
  <c r="BE19"/>
  <c r="BE12"/>
  <c r="BE16"/>
  <c r="BY7"/>
  <c r="BE9"/>
  <c r="BE15"/>
  <c r="BY17"/>
  <c r="AD20"/>
  <c r="AX20"/>
  <c r="AD14"/>
  <c r="AD16"/>
  <c r="AD18"/>
  <c r="AD6"/>
  <c r="AD8"/>
  <c r="AD10"/>
  <c r="AD12"/>
  <c r="AX14"/>
  <c r="AX16"/>
  <c r="AX18"/>
  <c r="AV22"/>
  <c r="AW22" s="1"/>
  <c r="AC25" s="1"/>
  <c r="AB29" s="1"/>
  <c r="C12"/>
  <c r="C16"/>
  <c r="W11"/>
  <c r="W15"/>
  <c r="W19"/>
  <c r="C18"/>
  <c r="W13"/>
  <c r="W17"/>
  <c r="C6"/>
  <c r="C10"/>
  <c r="C5"/>
  <c r="C7"/>
  <c r="B8"/>
  <c r="C9"/>
  <c r="C11"/>
  <c r="C13"/>
  <c r="C15"/>
  <c r="C17"/>
  <c r="C19"/>
  <c r="W5"/>
  <c r="W7"/>
  <c r="W9"/>
  <c r="BX8" i="58"/>
  <c r="BE11"/>
  <c r="BY12"/>
  <c r="BX20"/>
  <c r="BW22"/>
  <c r="BE6"/>
  <c r="BE10"/>
  <c r="BE15"/>
  <c r="BY16"/>
  <c r="BE17"/>
  <c r="BY18"/>
  <c r="AD16"/>
  <c r="AW20"/>
  <c r="AV22"/>
  <c r="AX9"/>
  <c r="AD18"/>
  <c r="C10"/>
  <c r="B6"/>
  <c r="V6"/>
  <c r="B8"/>
  <c r="W10"/>
  <c r="C11"/>
  <c r="C12"/>
  <c r="C13"/>
  <c r="C14"/>
  <c r="C15"/>
  <c r="C16"/>
  <c r="C17"/>
  <c r="C18"/>
  <c r="C19"/>
  <c r="W12"/>
  <c r="W14"/>
  <c r="BX8" i="52"/>
  <c r="BX12"/>
  <c r="BY16"/>
  <c r="BY18"/>
  <c r="BD6"/>
  <c r="BE17"/>
  <c r="BE19"/>
  <c r="BX20"/>
  <c r="BW22"/>
  <c r="AD9"/>
  <c r="AX9"/>
  <c r="AD13"/>
  <c r="AX13"/>
  <c r="AD5"/>
  <c r="AX5"/>
  <c r="AW20"/>
  <c r="AV22"/>
  <c r="AW22" s="1"/>
  <c r="B17"/>
  <c r="C17"/>
  <c r="B19"/>
  <c r="C19"/>
  <c r="B18"/>
  <c r="U18" s="1"/>
  <c r="C18"/>
  <c r="U6"/>
  <c r="U10"/>
  <c r="U14"/>
  <c r="C6"/>
  <c r="C8"/>
  <c r="U8" s="1"/>
  <c r="C10"/>
  <c r="C12"/>
  <c r="U12" s="1"/>
  <c r="C14"/>
  <c r="C16"/>
  <c r="U16" s="1"/>
  <c r="U5"/>
  <c r="V5" s="1"/>
  <c r="BE5" i="56"/>
  <c r="BD6"/>
  <c r="BD12"/>
  <c r="BE19"/>
  <c r="BE7"/>
  <c r="BY7"/>
  <c r="BE13"/>
  <c r="BY13"/>
  <c r="BD16"/>
  <c r="BD18"/>
  <c r="BY19"/>
  <c r="BD8"/>
  <c r="BD14"/>
  <c r="BE15"/>
  <c r="AX14"/>
  <c r="AD20"/>
  <c r="AV22"/>
  <c r="AC5"/>
  <c r="AC7"/>
  <c r="AC9"/>
  <c r="AD12"/>
  <c r="AC17"/>
  <c r="AX18"/>
  <c r="AD8"/>
  <c r="AC13"/>
  <c r="B6"/>
  <c r="C5"/>
  <c r="W5"/>
  <c r="C7"/>
  <c r="W7"/>
  <c r="C9"/>
  <c r="W9"/>
  <c r="C11"/>
  <c r="W11"/>
  <c r="C13"/>
  <c r="W13"/>
  <c r="C15"/>
  <c r="W15"/>
  <c r="C17"/>
  <c r="W17"/>
  <c r="B18"/>
  <c r="C19"/>
  <c r="B8"/>
  <c r="BX10" i="55"/>
  <c r="BX17"/>
  <c r="BW22"/>
  <c r="BX19"/>
  <c r="AW9"/>
  <c r="AX20"/>
  <c r="AV22"/>
  <c r="AD11"/>
  <c r="U22"/>
  <c r="C6"/>
  <c r="W6"/>
  <c r="C8"/>
  <c r="C10"/>
  <c r="C12"/>
  <c r="C14"/>
  <c r="B16"/>
  <c r="W16"/>
  <c r="B18"/>
  <c r="W18"/>
  <c r="B20"/>
  <c r="V17"/>
  <c r="V19"/>
  <c r="BD10" i="54"/>
  <c r="BD12"/>
  <c r="BY5"/>
  <c r="BY7"/>
  <c r="BE9"/>
  <c r="BE13"/>
  <c r="BE15"/>
  <c r="BY17"/>
  <c r="BY19"/>
  <c r="BW22"/>
  <c r="BY11"/>
  <c r="AD8"/>
  <c r="AX10"/>
  <c r="AX14"/>
  <c r="AX18"/>
  <c r="AD5"/>
  <c r="AX6"/>
  <c r="AX12"/>
  <c r="AX16"/>
  <c r="C6"/>
  <c r="C10"/>
  <c r="C7"/>
  <c r="B8"/>
  <c r="C9"/>
  <c r="C11"/>
  <c r="C13"/>
  <c r="C15"/>
  <c r="C17"/>
  <c r="C19"/>
  <c r="BD8" i="53"/>
  <c r="BX9"/>
  <c r="BX10"/>
  <c r="BX6"/>
  <c r="BY11"/>
  <c r="BE13"/>
  <c r="BY13"/>
  <c r="BD14"/>
  <c r="BE15"/>
  <c r="AC5"/>
  <c r="AW11"/>
  <c r="AX6"/>
  <c r="AW7"/>
  <c r="AC9"/>
  <c r="AC13"/>
  <c r="W13"/>
  <c r="C15"/>
  <c r="W15"/>
  <c r="C17"/>
  <c r="W17"/>
  <c r="C19"/>
  <c r="W19"/>
  <c r="BX17" i="47"/>
  <c r="BY19"/>
  <c r="BD5"/>
  <c r="BD9"/>
  <c r="BE11"/>
  <c r="BE15"/>
  <c r="BX5"/>
  <c r="AC8"/>
  <c r="AC14"/>
  <c r="AX14"/>
  <c r="AC18"/>
  <c r="AC6"/>
  <c r="AC10"/>
  <c r="AW6"/>
  <c r="AW8"/>
  <c r="AW10"/>
  <c r="AW18"/>
  <c r="AD20"/>
  <c r="W15"/>
  <c r="W17"/>
  <c r="W13"/>
  <c r="C20" i="61"/>
  <c r="B20"/>
  <c r="AW22"/>
  <c r="BX22"/>
  <c r="AD20"/>
  <c r="F22"/>
  <c r="U22" s="1"/>
  <c r="W5"/>
  <c r="BE5"/>
  <c r="BY5"/>
  <c r="AD6"/>
  <c r="AX6"/>
  <c r="C7"/>
  <c r="W7"/>
  <c r="BE7"/>
  <c r="BY7"/>
  <c r="AD8"/>
  <c r="AX8"/>
  <c r="C9"/>
  <c r="W9"/>
  <c r="BY9"/>
  <c r="AX10"/>
  <c r="W11"/>
  <c r="BY11"/>
  <c r="AX12"/>
  <c r="W13"/>
  <c r="BY13"/>
  <c r="AX14"/>
  <c r="W15"/>
  <c r="BY15"/>
  <c r="AX16"/>
  <c r="W17"/>
  <c r="BY17"/>
  <c r="AX18"/>
  <c r="W19"/>
  <c r="BY19"/>
  <c r="C5"/>
  <c r="C20" i="60"/>
  <c r="B20"/>
  <c r="AW22"/>
  <c r="BX22"/>
  <c r="AD20"/>
  <c r="F22"/>
  <c r="U22" s="1"/>
  <c r="C5"/>
  <c r="W5"/>
  <c r="BE5"/>
  <c r="BY5"/>
  <c r="AD6"/>
  <c r="AX6"/>
  <c r="C7"/>
  <c r="W7"/>
  <c r="BE7"/>
  <c r="BY7"/>
  <c r="AD8"/>
  <c r="AX8"/>
  <c r="C9"/>
  <c r="W9"/>
  <c r="BE9"/>
  <c r="BY9"/>
  <c r="AD10"/>
  <c r="AX10"/>
  <c r="C11"/>
  <c r="W11"/>
  <c r="BE11"/>
  <c r="BY11"/>
  <c r="AD12"/>
  <c r="AX12"/>
  <c r="C13"/>
  <c r="W13"/>
  <c r="BE13"/>
  <c r="BY13"/>
  <c r="AD14"/>
  <c r="AX14"/>
  <c r="C15"/>
  <c r="W15"/>
  <c r="BE15"/>
  <c r="BY15"/>
  <c r="AD16"/>
  <c r="AX16"/>
  <c r="W17"/>
  <c r="BY17"/>
  <c r="AX18"/>
  <c r="W19"/>
  <c r="BY19"/>
  <c r="C20" i="59"/>
  <c r="B20"/>
  <c r="BX22"/>
  <c r="AW5"/>
  <c r="V6"/>
  <c r="BX6"/>
  <c r="AW7"/>
  <c r="V8"/>
  <c r="BX8"/>
  <c r="AW9"/>
  <c r="V10"/>
  <c r="BX10"/>
  <c r="AW11"/>
  <c r="V12"/>
  <c r="BX12"/>
  <c r="AW13"/>
  <c r="V14"/>
  <c r="BX14"/>
  <c r="AW15"/>
  <c r="V16"/>
  <c r="BX16"/>
  <c r="AW17"/>
  <c r="V18"/>
  <c r="BX18"/>
  <c r="AW19"/>
  <c r="F22"/>
  <c r="U22" s="1"/>
  <c r="W20"/>
  <c r="BE20"/>
  <c r="BY20"/>
  <c r="C20" i="58"/>
  <c r="B20"/>
  <c r="AW22"/>
  <c r="BX22"/>
  <c r="AD20"/>
  <c r="F22"/>
  <c r="U22" s="1"/>
  <c r="C5"/>
  <c r="W5"/>
  <c r="C7"/>
  <c r="W7"/>
  <c r="BE7"/>
  <c r="AD8"/>
  <c r="AX8"/>
  <c r="C9"/>
  <c r="W9"/>
  <c r="BE9"/>
  <c r="BY9"/>
  <c r="AD10"/>
  <c r="AX10"/>
  <c r="W11"/>
  <c r="BY11"/>
  <c r="AX12"/>
  <c r="W13"/>
  <c r="BY13"/>
  <c r="AX14"/>
  <c r="W15"/>
  <c r="BY15"/>
  <c r="AX16"/>
  <c r="W17"/>
  <c r="BY17"/>
  <c r="AX18"/>
  <c r="W19"/>
  <c r="BY19"/>
  <c r="BE5"/>
  <c r="BY5"/>
  <c r="AD6"/>
  <c r="AC24" s="1"/>
  <c r="AB28" s="1"/>
  <c r="E87" i="48" s="1"/>
  <c r="S87" s="1"/>
  <c r="AX6" i="58"/>
  <c r="BY7"/>
  <c r="C20" i="57"/>
  <c r="B20"/>
  <c r="AW22"/>
  <c r="AD20"/>
  <c r="F22"/>
  <c r="U22" s="1"/>
  <c r="C5"/>
  <c r="W5"/>
  <c r="BE5"/>
  <c r="AD6"/>
  <c r="AX6"/>
  <c r="C7"/>
  <c r="W7"/>
  <c r="BE7"/>
  <c r="BW7" s="1"/>
  <c r="AD8"/>
  <c r="AX8"/>
  <c r="C9"/>
  <c r="W9"/>
  <c r="BE9"/>
  <c r="BW9" s="1"/>
  <c r="AD10"/>
  <c r="AX10"/>
  <c r="C11"/>
  <c r="W11"/>
  <c r="BE11"/>
  <c r="BW11" s="1"/>
  <c r="AD12"/>
  <c r="AX12"/>
  <c r="C13"/>
  <c r="W13"/>
  <c r="BE13"/>
  <c r="BW13" s="1"/>
  <c r="AD14"/>
  <c r="AX14"/>
  <c r="W15"/>
  <c r="BY15"/>
  <c r="AX16"/>
  <c r="W17"/>
  <c r="AX18"/>
  <c r="W19"/>
  <c r="C20" i="56"/>
  <c r="B20"/>
  <c r="AW22"/>
  <c r="BX22"/>
  <c r="AW5"/>
  <c r="V6"/>
  <c r="BX6"/>
  <c r="AW7"/>
  <c r="V8"/>
  <c r="BX8"/>
  <c r="AW9"/>
  <c r="V10"/>
  <c r="BX10"/>
  <c r="AW11"/>
  <c r="V12"/>
  <c r="BX12"/>
  <c r="AW13"/>
  <c r="V14"/>
  <c r="BX14"/>
  <c r="AW15"/>
  <c r="V16"/>
  <c r="BX16"/>
  <c r="AW17"/>
  <c r="V18"/>
  <c r="BX18"/>
  <c r="AW19"/>
  <c r="AX20"/>
  <c r="F22"/>
  <c r="U22" s="1"/>
  <c r="W20"/>
  <c r="BE20"/>
  <c r="BY20"/>
  <c r="V22" i="55"/>
  <c r="AW22"/>
  <c r="BX22"/>
  <c r="C5"/>
  <c r="W5"/>
  <c r="BE5"/>
  <c r="BY5"/>
  <c r="AD6"/>
  <c r="AX6"/>
  <c r="C7"/>
  <c r="W7"/>
  <c r="BE7"/>
  <c r="BY7"/>
  <c r="AD8"/>
  <c r="AX8"/>
  <c r="C9"/>
  <c r="W9"/>
  <c r="BE9"/>
  <c r="BY9"/>
  <c r="AD10"/>
  <c r="AX10"/>
  <c r="C11"/>
  <c r="W11"/>
  <c r="BE11"/>
  <c r="BY11"/>
  <c r="AD12"/>
  <c r="AX12"/>
  <c r="C13"/>
  <c r="W13"/>
  <c r="BE13"/>
  <c r="BY13"/>
  <c r="AD14"/>
  <c r="AX14"/>
  <c r="C15"/>
  <c r="W15"/>
  <c r="BE15"/>
  <c r="AD16"/>
  <c r="C17"/>
  <c r="BE17"/>
  <c r="AD18"/>
  <c r="C19"/>
  <c r="BE19"/>
  <c r="W20"/>
  <c r="BY20"/>
  <c r="C20" i="54"/>
  <c r="B20"/>
  <c r="AW22"/>
  <c r="BX22"/>
  <c r="AW5"/>
  <c r="V6"/>
  <c r="BX6"/>
  <c r="AW7"/>
  <c r="V8"/>
  <c r="BX8"/>
  <c r="AW9"/>
  <c r="V10"/>
  <c r="BX10"/>
  <c r="AW11"/>
  <c r="V12"/>
  <c r="BX12"/>
  <c r="AW13"/>
  <c r="V14"/>
  <c r="BX14"/>
  <c r="AW15"/>
  <c r="V16"/>
  <c r="BX16"/>
  <c r="AW17"/>
  <c r="V18"/>
  <c r="BX18"/>
  <c r="AW19"/>
  <c r="AX20"/>
  <c r="F22"/>
  <c r="U22" s="1"/>
  <c r="B5"/>
  <c r="W20"/>
  <c r="BE20"/>
  <c r="BY20"/>
  <c r="V22" i="53"/>
  <c r="AW22"/>
  <c r="BX22"/>
  <c r="C5"/>
  <c r="AD6"/>
  <c r="BE7"/>
  <c r="C9"/>
  <c r="BE9"/>
  <c r="B7"/>
  <c r="AC10"/>
  <c r="B11"/>
  <c r="BD11"/>
  <c r="AC12"/>
  <c r="B13"/>
  <c r="BE5"/>
  <c r="AD8"/>
  <c r="BY12"/>
  <c r="AX13"/>
  <c r="W14"/>
  <c r="BY14"/>
  <c r="AX15"/>
  <c r="C16"/>
  <c r="W16"/>
  <c r="BE16"/>
  <c r="BY16"/>
  <c r="AD17"/>
  <c r="AX17"/>
  <c r="C18"/>
  <c r="W18"/>
  <c r="BE18"/>
  <c r="BY18"/>
  <c r="AD19"/>
  <c r="AX19"/>
  <c r="C20"/>
  <c r="W20"/>
  <c r="BE20"/>
  <c r="BY20"/>
  <c r="C20" i="52"/>
  <c r="U20" s="1"/>
  <c r="B20"/>
  <c r="BX22"/>
  <c r="AD20"/>
  <c r="F22"/>
  <c r="U22" s="1"/>
  <c r="C5"/>
  <c r="W5"/>
  <c r="AD6"/>
  <c r="C7"/>
  <c r="U7" s="1"/>
  <c r="BE7"/>
  <c r="BY7"/>
  <c r="AD8"/>
  <c r="AX8"/>
  <c r="C9"/>
  <c r="U9" s="1"/>
  <c r="BE9"/>
  <c r="BY9"/>
  <c r="AD10"/>
  <c r="AX10"/>
  <c r="C11"/>
  <c r="U11" s="1"/>
  <c r="BE11"/>
  <c r="BY11"/>
  <c r="AD12"/>
  <c r="AX12"/>
  <c r="C13"/>
  <c r="U13" s="1"/>
  <c r="BE13"/>
  <c r="BY13"/>
  <c r="AD14"/>
  <c r="AX14"/>
  <c r="C15"/>
  <c r="U15" s="1"/>
  <c r="BE15"/>
  <c r="BY15"/>
  <c r="AD16"/>
  <c r="AX16"/>
  <c r="BY17"/>
  <c r="AX18"/>
  <c r="BY19"/>
  <c r="BE5"/>
  <c r="BD24" s="1"/>
  <c r="BC28" s="1"/>
  <c r="E82" i="48" s="1"/>
  <c r="S82" s="1"/>
  <c r="BY5" i="52"/>
  <c r="AX6"/>
  <c r="E22" i="51"/>
  <c r="V18"/>
  <c r="C20"/>
  <c r="V20"/>
  <c r="C6"/>
  <c r="W6"/>
  <c r="C8"/>
  <c r="W8"/>
  <c r="C10"/>
  <c r="W10"/>
  <c r="C12"/>
  <c r="W12"/>
  <c r="C14"/>
  <c r="W14"/>
  <c r="C16"/>
  <c r="W16"/>
  <c r="C18"/>
  <c r="C7"/>
  <c r="W7"/>
  <c r="C9"/>
  <c r="W9"/>
  <c r="C11"/>
  <c r="W11"/>
  <c r="C13"/>
  <c r="W13"/>
  <c r="C15"/>
  <c r="W15"/>
  <c r="C17"/>
  <c r="W17"/>
  <c r="C19"/>
  <c r="W19"/>
  <c r="BW22" i="47"/>
  <c r="BX22" s="1"/>
  <c r="BE7"/>
  <c r="BY13"/>
  <c r="BY15"/>
  <c r="AW12"/>
  <c r="AW20"/>
  <c r="AV22"/>
  <c r="AX16"/>
  <c r="C5"/>
  <c r="C11"/>
  <c r="V5"/>
  <c r="B7"/>
  <c r="V7"/>
  <c r="B9"/>
  <c r="V9"/>
  <c r="B13"/>
  <c r="B15"/>
  <c r="B17"/>
  <c r="B19"/>
  <c r="U22"/>
  <c r="V22" s="1"/>
  <c r="AW22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BT22" i="46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F20"/>
  <c r="BD20" s="1"/>
  <c r="AV20"/>
  <c r="AW20" s="1"/>
  <c r="AE20"/>
  <c r="AD20" s="1"/>
  <c r="AC20"/>
  <c r="U20"/>
  <c r="V20" s="1"/>
  <c r="D20"/>
  <c r="B20" s="1"/>
  <c r="BF19"/>
  <c r="BE19" s="1"/>
  <c r="BD19"/>
  <c r="BW19" s="1"/>
  <c r="AV19"/>
  <c r="AW19" s="1"/>
  <c r="AE19"/>
  <c r="AC19" s="1"/>
  <c r="U19"/>
  <c r="V19" s="1"/>
  <c r="D19"/>
  <c r="B19" s="1"/>
  <c r="BF18"/>
  <c r="BD18" s="1"/>
  <c r="AX18"/>
  <c r="AV18"/>
  <c r="AW18" s="1"/>
  <c r="AE18"/>
  <c r="AD18" s="1"/>
  <c r="AC18"/>
  <c r="U18"/>
  <c r="V18" s="1"/>
  <c r="D18"/>
  <c r="B18" s="1"/>
  <c r="BF17"/>
  <c r="BE17" s="1"/>
  <c r="AV17"/>
  <c r="AW17" s="1"/>
  <c r="AE17"/>
  <c r="AC17" s="1"/>
  <c r="U17"/>
  <c r="V17" s="1"/>
  <c r="D17"/>
  <c r="B17" s="1"/>
  <c r="BF16"/>
  <c r="BD16" s="1"/>
  <c r="AV16"/>
  <c r="AW16" s="1"/>
  <c r="AE16"/>
  <c r="AD16" s="1"/>
  <c r="U16"/>
  <c r="V16" s="1"/>
  <c r="D16"/>
  <c r="B16" s="1"/>
  <c r="BF15"/>
  <c r="BE15" s="1"/>
  <c r="AV15"/>
  <c r="AW15" s="1"/>
  <c r="AE15"/>
  <c r="AC15" s="1"/>
  <c r="W15"/>
  <c r="U15"/>
  <c r="V15" s="1"/>
  <c r="D15"/>
  <c r="B15" s="1"/>
  <c r="BF14"/>
  <c r="BD14" s="1"/>
  <c r="AX14"/>
  <c r="AW14"/>
  <c r="AV14"/>
  <c r="AE14"/>
  <c r="AD14" s="1"/>
  <c r="U14"/>
  <c r="V14" s="1"/>
  <c r="D14"/>
  <c r="B14" s="1"/>
  <c r="BF13"/>
  <c r="BD13" s="1"/>
  <c r="AV13"/>
  <c r="AW13" s="1"/>
  <c r="AE13"/>
  <c r="AC13" s="1"/>
  <c r="V13"/>
  <c r="U13"/>
  <c r="W13" s="1"/>
  <c r="D13"/>
  <c r="C13" s="1"/>
  <c r="BF12"/>
  <c r="BD12" s="1"/>
  <c r="AX12"/>
  <c r="AW12"/>
  <c r="AV12"/>
  <c r="AE12"/>
  <c r="AC12" s="1"/>
  <c r="U12"/>
  <c r="V12" s="1"/>
  <c r="D12"/>
  <c r="B12" s="1"/>
  <c r="BF11"/>
  <c r="BE11" s="1"/>
  <c r="AV11"/>
  <c r="AW11" s="1"/>
  <c r="AE11"/>
  <c r="AC11" s="1"/>
  <c r="W11"/>
  <c r="V11"/>
  <c r="U11"/>
  <c r="D11"/>
  <c r="B11" s="1"/>
  <c r="BF10"/>
  <c r="BD10" s="1"/>
  <c r="AV10"/>
  <c r="AW10" s="1"/>
  <c r="AE10"/>
  <c r="AC10" s="1"/>
  <c r="U10"/>
  <c r="V10" s="1"/>
  <c r="D10"/>
  <c r="B10" s="1"/>
  <c r="BF9"/>
  <c r="BD9" s="1"/>
  <c r="AV9"/>
  <c r="AW9" s="1"/>
  <c r="AE9"/>
  <c r="AC9" s="1"/>
  <c r="U9"/>
  <c r="W9" s="1"/>
  <c r="D9"/>
  <c r="B9" s="1"/>
  <c r="BF8"/>
  <c r="BD8" s="1"/>
  <c r="AV8"/>
  <c r="AW8" s="1"/>
  <c r="AE8"/>
  <c r="AC8" s="1"/>
  <c r="U8"/>
  <c r="V8" s="1"/>
  <c r="D8"/>
  <c r="B8" s="1"/>
  <c r="BF7"/>
  <c r="BE7" s="1"/>
  <c r="BD7"/>
  <c r="BW7" s="1"/>
  <c r="AV7"/>
  <c r="AW7" s="1"/>
  <c r="AE7"/>
  <c r="AC7" s="1"/>
  <c r="W7"/>
  <c r="V7"/>
  <c r="U7"/>
  <c r="D7"/>
  <c r="C7"/>
  <c r="B7"/>
  <c r="BF6"/>
  <c r="BD6" s="1"/>
  <c r="AV6"/>
  <c r="AW6" s="1"/>
  <c r="AE6"/>
  <c r="AC6" s="1"/>
  <c r="U6"/>
  <c r="V6" s="1"/>
  <c r="D6"/>
  <c r="B6" s="1"/>
  <c r="BF5"/>
  <c r="BE5" s="1"/>
  <c r="BD5"/>
  <c r="AV5"/>
  <c r="AW5" s="1"/>
  <c r="AE5"/>
  <c r="AC5" s="1"/>
  <c r="W5"/>
  <c r="V5"/>
  <c r="U5"/>
  <c r="D5"/>
  <c r="B5" s="1"/>
  <c r="C5"/>
  <c r="BV22" i="45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Y20" s="1"/>
  <c r="BF20"/>
  <c r="BE20" s="1"/>
  <c r="AV20"/>
  <c r="AX20" s="1"/>
  <c r="AE20"/>
  <c r="AC20" s="1"/>
  <c r="U20"/>
  <c r="W20" s="1"/>
  <c r="D20"/>
  <c r="C20" s="1"/>
  <c r="BW19"/>
  <c r="BY19" s="1"/>
  <c r="BF19"/>
  <c r="BD19" s="1"/>
  <c r="AV19"/>
  <c r="AX19" s="1"/>
  <c r="AE19"/>
  <c r="AD19" s="1"/>
  <c r="U19"/>
  <c r="W19" s="1"/>
  <c r="D19"/>
  <c r="B19" s="1"/>
  <c r="BW18"/>
  <c r="BY18" s="1"/>
  <c r="BF18"/>
  <c r="BE18" s="1"/>
  <c r="AX18"/>
  <c r="AW18"/>
  <c r="AV18"/>
  <c r="AE18"/>
  <c r="AC18" s="1"/>
  <c r="V18"/>
  <c r="U18"/>
  <c r="W18" s="1"/>
  <c r="D18"/>
  <c r="C18" s="1"/>
  <c r="BY17"/>
  <c r="BX17"/>
  <c r="BW17"/>
  <c r="BF17"/>
  <c r="BD17" s="1"/>
  <c r="AV17"/>
  <c r="AX17" s="1"/>
  <c r="AE17"/>
  <c r="AD17" s="1"/>
  <c r="U17"/>
  <c r="V17" s="1"/>
  <c r="D17"/>
  <c r="B17" s="1"/>
  <c r="BX16"/>
  <c r="BW16"/>
  <c r="BY16" s="1"/>
  <c r="BF16"/>
  <c r="BE16" s="1"/>
  <c r="AW16"/>
  <c r="AV16"/>
  <c r="AX16" s="1"/>
  <c r="AE16"/>
  <c r="AC16" s="1"/>
  <c r="U16"/>
  <c r="W16" s="1"/>
  <c r="D16"/>
  <c r="C16" s="1"/>
  <c r="BY15"/>
  <c r="BX15"/>
  <c r="BW15"/>
  <c r="BF15"/>
  <c r="BD15" s="1"/>
  <c r="AW15"/>
  <c r="AV15"/>
  <c r="AX15" s="1"/>
  <c r="AE15"/>
  <c r="AD15" s="1"/>
  <c r="U15"/>
  <c r="W15" s="1"/>
  <c r="D15"/>
  <c r="B15" s="1"/>
  <c r="BX14"/>
  <c r="BW14"/>
  <c r="BY14" s="1"/>
  <c r="BF14"/>
  <c r="BE14" s="1"/>
  <c r="AV14"/>
  <c r="AX14" s="1"/>
  <c r="AE14"/>
  <c r="AC14" s="1"/>
  <c r="U14"/>
  <c r="W14" s="1"/>
  <c r="D14"/>
  <c r="C14" s="1"/>
  <c r="BY13"/>
  <c r="BX13"/>
  <c r="BW13"/>
  <c r="BF13"/>
  <c r="BD13" s="1"/>
  <c r="AV13"/>
  <c r="AX13" s="1"/>
  <c r="AE13"/>
  <c r="AD13" s="1"/>
  <c r="U13"/>
  <c r="W13" s="1"/>
  <c r="D13"/>
  <c r="B13" s="1"/>
  <c r="BW12"/>
  <c r="BY12" s="1"/>
  <c r="BF12"/>
  <c r="BE12" s="1"/>
  <c r="AW12"/>
  <c r="AV12"/>
  <c r="AX12" s="1"/>
  <c r="AE12"/>
  <c r="AC12" s="1"/>
  <c r="U12"/>
  <c r="W12" s="1"/>
  <c r="D12"/>
  <c r="C12" s="1"/>
  <c r="BY11"/>
  <c r="BX11"/>
  <c r="BW11"/>
  <c r="BF11"/>
  <c r="BD11" s="1"/>
  <c r="AW11"/>
  <c r="AV11"/>
  <c r="AX11" s="1"/>
  <c r="AE11"/>
  <c r="AD11" s="1"/>
  <c r="U11"/>
  <c r="W11" s="1"/>
  <c r="D11"/>
  <c r="B11" s="1"/>
  <c r="BX10"/>
  <c r="BW10"/>
  <c r="BY10" s="1"/>
  <c r="BF10"/>
  <c r="BE10" s="1"/>
  <c r="AX10"/>
  <c r="AW10"/>
  <c r="AV10"/>
  <c r="AE10"/>
  <c r="AC10" s="1"/>
  <c r="U10"/>
  <c r="W10" s="1"/>
  <c r="D10"/>
  <c r="C10" s="1"/>
  <c r="BX9"/>
  <c r="BW9"/>
  <c r="BY9" s="1"/>
  <c r="BF9"/>
  <c r="BD9" s="1"/>
  <c r="AV9"/>
  <c r="AX9" s="1"/>
  <c r="AE9"/>
  <c r="AD9" s="1"/>
  <c r="U9"/>
  <c r="V9" s="1"/>
  <c r="D9"/>
  <c r="B9" s="1"/>
  <c r="BW8"/>
  <c r="BY8" s="1"/>
  <c r="BF8"/>
  <c r="BE8" s="1"/>
  <c r="BD8"/>
  <c r="AX8"/>
  <c r="AW8"/>
  <c r="AV8"/>
  <c r="AE8"/>
  <c r="AC8" s="1"/>
  <c r="U8"/>
  <c r="W8" s="1"/>
  <c r="D8"/>
  <c r="C8" s="1"/>
  <c r="BY7"/>
  <c r="BX7"/>
  <c r="BW7"/>
  <c r="BF7"/>
  <c r="BD7" s="1"/>
  <c r="AV7"/>
  <c r="AX7" s="1"/>
  <c r="AE7"/>
  <c r="AD7" s="1"/>
  <c r="U7"/>
  <c r="V7" s="1"/>
  <c r="D7"/>
  <c r="B7" s="1"/>
  <c r="BW6"/>
  <c r="BY6" s="1"/>
  <c r="BF6"/>
  <c r="BE6" s="1"/>
  <c r="BD6"/>
  <c r="AX6"/>
  <c r="AW6"/>
  <c r="AV6"/>
  <c r="AE6"/>
  <c r="AC6" s="1"/>
  <c r="U6"/>
  <c r="W6" s="1"/>
  <c r="D6"/>
  <c r="C6" s="1"/>
  <c r="BX5"/>
  <c r="BW5"/>
  <c r="BY5" s="1"/>
  <c r="BF5"/>
  <c r="BD5" s="1"/>
  <c r="AV5"/>
  <c r="AX5" s="1"/>
  <c r="AE5"/>
  <c r="AD5" s="1"/>
  <c r="U5"/>
  <c r="V5" s="1"/>
  <c r="D5"/>
  <c r="B5" s="1"/>
  <c r="BV22" i="44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D20" s="1"/>
  <c r="U20"/>
  <c r="V20" s="1"/>
  <c r="D20"/>
  <c r="B20" s="1"/>
  <c r="BW19"/>
  <c r="BX19" s="1"/>
  <c r="BF19"/>
  <c r="BE19" s="1"/>
  <c r="AV19"/>
  <c r="AW19" s="1"/>
  <c r="AE19"/>
  <c r="AC19" s="1"/>
  <c r="U19"/>
  <c r="V19" s="1"/>
  <c r="D19"/>
  <c r="B19" s="1"/>
  <c r="BW18"/>
  <c r="BX18" s="1"/>
  <c r="BF18"/>
  <c r="BD18" s="1"/>
  <c r="AX18"/>
  <c r="AV18"/>
  <c r="AW18" s="1"/>
  <c r="AE18"/>
  <c r="AC18" s="1"/>
  <c r="U18"/>
  <c r="V18" s="1"/>
  <c r="D18"/>
  <c r="B18" s="1"/>
  <c r="BW17"/>
  <c r="BX17" s="1"/>
  <c r="BF17"/>
  <c r="BD17" s="1"/>
  <c r="AV17"/>
  <c r="AW17" s="1"/>
  <c r="AE17"/>
  <c r="AC17" s="1"/>
  <c r="U17"/>
  <c r="V17" s="1"/>
  <c r="D17"/>
  <c r="B17" s="1"/>
  <c r="BW16"/>
  <c r="BX16" s="1"/>
  <c r="BF16"/>
  <c r="BD16" s="1"/>
  <c r="AV16"/>
  <c r="AW16" s="1"/>
  <c r="AE16"/>
  <c r="AC16" s="1"/>
  <c r="U16"/>
  <c r="V16" s="1"/>
  <c r="D16"/>
  <c r="B16" s="1"/>
  <c r="BY15"/>
  <c r="BW15"/>
  <c r="BX15" s="1"/>
  <c r="BF15"/>
  <c r="BD15" s="1"/>
  <c r="AV15"/>
  <c r="AW15" s="1"/>
  <c r="AE15"/>
  <c r="AC15" s="1"/>
  <c r="W15"/>
  <c r="U15"/>
  <c r="V15" s="1"/>
  <c r="D15"/>
  <c r="B15" s="1"/>
  <c r="BW14"/>
  <c r="BX14" s="1"/>
  <c r="BF14"/>
  <c r="BD14" s="1"/>
  <c r="AV14"/>
  <c r="AW14" s="1"/>
  <c r="AE14"/>
  <c r="AC14" s="1"/>
  <c r="U14"/>
  <c r="V14" s="1"/>
  <c r="D14"/>
  <c r="B14" s="1"/>
  <c r="BY13"/>
  <c r="BW13"/>
  <c r="BX13" s="1"/>
  <c r="BF13"/>
  <c r="BD13" s="1"/>
  <c r="AV13"/>
  <c r="AW13" s="1"/>
  <c r="AE13"/>
  <c r="AC13" s="1"/>
  <c r="W13"/>
  <c r="U13"/>
  <c r="V13" s="1"/>
  <c r="D13"/>
  <c r="B13" s="1"/>
  <c r="BW12"/>
  <c r="BX12" s="1"/>
  <c r="BF12"/>
  <c r="BD12" s="1"/>
  <c r="AV12"/>
  <c r="AW12" s="1"/>
  <c r="AE12"/>
  <c r="AD12" s="1"/>
  <c r="U12"/>
  <c r="V12" s="1"/>
  <c r="D12"/>
  <c r="B12" s="1"/>
  <c r="BY11"/>
  <c r="BW11"/>
  <c r="BX11" s="1"/>
  <c r="BF11"/>
  <c r="BD11" s="1"/>
  <c r="AV11"/>
  <c r="AW11" s="1"/>
  <c r="AE11"/>
  <c r="AC11" s="1"/>
  <c r="U11"/>
  <c r="V11" s="1"/>
  <c r="D11"/>
  <c r="B11" s="1"/>
  <c r="BW10"/>
  <c r="BX10" s="1"/>
  <c r="BF10"/>
  <c r="BD10" s="1"/>
  <c r="AX10"/>
  <c r="AV10"/>
  <c r="AW10" s="1"/>
  <c r="AE10"/>
  <c r="AC10" s="1"/>
  <c r="U10"/>
  <c r="V10" s="1"/>
  <c r="D10"/>
  <c r="B10" s="1"/>
  <c r="BY9"/>
  <c r="BW9"/>
  <c r="BX9" s="1"/>
  <c r="BF9"/>
  <c r="BD9" s="1"/>
  <c r="AV9"/>
  <c r="AW9" s="1"/>
  <c r="AE9"/>
  <c r="AC9" s="1"/>
  <c r="U9"/>
  <c r="V9" s="1"/>
  <c r="D9"/>
  <c r="B9" s="1"/>
  <c r="BW8"/>
  <c r="BX8" s="1"/>
  <c r="BF8"/>
  <c r="BD8" s="1"/>
  <c r="AX8"/>
  <c r="AV8"/>
  <c r="AW8" s="1"/>
  <c r="AE8"/>
  <c r="AC8" s="1"/>
  <c r="U8"/>
  <c r="V8" s="1"/>
  <c r="D8"/>
  <c r="B8" s="1"/>
  <c r="BW7"/>
  <c r="BX7" s="1"/>
  <c r="BF7"/>
  <c r="BD7" s="1"/>
  <c r="BE7"/>
  <c r="AV7"/>
  <c r="AW7" s="1"/>
  <c r="AE7"/>
  <c r="AC7" s="1"/>
  <c r="U7"/>
  <c r="V7" s="1"/>
  <c r="D7"/>
  <c r="B7" s="1"/>
  <c r="BW6"/>
  <c r="BX6" s="1"/>
  <c r="BF6"/>
  <c r="BD6" s="1"/>
  <c r="AX6"/>
  <c r="AV6"/>
  <c r="AW6" s="1"/>
  <c r="AE6"/>
  <c r="AC6" s="1"/>
  <c r="U6"/>
  <c r="V6" s="1"/>
  <c r="D6"/>
  <c r="B6" s="1"/>
  <c r="BX5"/>
  <c r="BW5"/>
  <c r="BY5" s="1"/>
  <c r="BF5"/>
  <c r="BE5" s="1"/>
  <c r="BD5"/>
  <c r="AV5"/>
  <c r="AW5" s="1"/>
  <c r="AE5"/>
  <c r="AC5" s="1"/>
  <c r="U5"/>
  <c r="V5" s="1"/>
  <c r="D5"/>
  <c r="B5" s="1"/>
  <c r="BV22" i="43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C20" s="1"/>
  <c r="U20"/>
  <c r="V20" s="1"/>
  <c r="D20"/>
  <c r="B20" s="1"/>
  <c r="BW19"/>
  <c r="BX19" s="1"/>
  <c r="BF19"/>
  <c r="BD19" s="1"/>
  <c r="AV19"/>
  <c r="AW19" s="1"/>
  <c r="AE19"/>
  <c r="AC19" s="1"/>
  <c r="U19"/>
  <c r="V19" s="1"/>
  <c r="D19"/>
  <c r="B19" s="1"/>
  <c r="BW18"/>
  <c r="BX18" s="1"/>
  <c r="BF18"/>
  <c r="BD18" s="1"/>
  <c r="AV18"/>
  <c r="AW18" s="1"/>
  <c r="AE18"/>
  <c r="AC18" s="1"/>
  <c r="U18"/>
  <c r="V18" s="1"/>
  <c r="D18"/>
  <c r="B18" s="1"/>
  <c r="BW17"/>
  <c r="BX17" s="1"/>
  <c r="BF17"/>
  <c r="BD17" s="1"/>
  <c r="AV17"/>
  <c r="AW17" s="1"/>
  <c r="AE17"/>
  <c r="AC17" s="1"/>
  <c r="U17"/>
  <c r="V17" s="1"/>
  <c r="D17"/>
  <c r="B17" s="1"/>
  <c r="BW16"/>
  <c r="BX16" s="1"/>
  <c r="BF16"/>
  <c r="BD16" s="1"/>
  <c r="AV16"/>
  <c r="AW16" s="1"/>
  <c r="AE16"/>
  <c r="AC16" s="1"/>
  <c r="U16"/>
  <c r="W16" s="1"/>
  <c r="D16"/>
  <c r="B16" s="1"/>
  <c r="BW15"/>
  <c r="BX15" s="1"/>
  <c r="BF15"/>
  <c r="BD15" s="1"/>
  <c r="AV15"/>
  <c r="AW15" s="1"/>
  <c r="AE15"/>
  <c r="AC15" s="1"/>
  <c r="U15"/>
  <c r="V15" s="1"/>
  <c r="D15"/>
  <c r="B15" s="1"/>
  <c r="BX14"/>
  <c r="BW14"/>
  <c r="BY14" s="1"/>
  <c r="BF14"/>
  <c r="BD14" s="1"/>
  <c r="AV14"/>
  <c r="AW14" s="1"/>
  <c r="AE14"/>
  <c r="AC14" s="1"/>
  <c r="U14"/>
  <c r="V14" s="1"/>
  <c r="D14"/>
  <c r="B14" s="1"/>
  <c r="BW13"/>
  <c r="BX13" s="1"/>
  <c r="BF13"/>
  <c r="BD13" s="1"/>
  <c r="AV13"/>
  <c r="AW13" s="1"/>
  <c r="AE13"/>
  <c r="AC13" s="1"/>
  <c r="U13"/>
  <c r="V13" s="1"/>
  <c r="D13"/>
  <c r="B13" s="1"/>
  <c r="BX12"/>
  <c r="BW12"/>
  <c r="BY12" s="1"/>
  <c r="BF12"/>
  <c r="BD12" s="1"/>
  <c r="AV12"/>
  <c r="AW12" s="1"/>
  <c r="AE12"/>
  <c r="AC12" s="1"/>
  <c r="U12"/>
  <c r="V12" s="1"/>
  <c r="D12"/>
  <c r="B12" s="1"/>
  <c r="BW11"/>
  <c r="BX11" s="1"/>
  <c r="BF11"/>
  <c r="BD11" s="1"/>
  <c r="AV11"/>
  <c r="AW11" s="1"/>
  <c r="AE11"/>
  <c r="AC11" s="1"/>
  <c r="U11"/>
  <c r="V11" s="1"/>
  <c r="D11"/>
  <c r="B11" s="1"/>
  <c r="BX10"/>
  <c r="BW10"/>
  <c r="BY10" s="1"/>
  <c r="BF10"/>
  <c r="BE10" s="1"/>
  <c r="AV10"/>
  <c r="AW10" s="1"/>
  <c r="AE10"/>
  <c r="AC10" s="1"/>
  <c r="U10"/>
  <c r="V10" s="1"/>
  <c r="D10"/>
  <c r="C10" s="1"/>
  <c r="BW9"/>
  <c r="BX9" s="1"/>
  <c r="BF9"/>
  <c r="BD9" s="1"/>
  <c r="AV9"/>
  <c r="AW9" s="1"/>
  <c r="AE9"/>
  <c r="AC9" s="1"/>
  <c r="U9"/>
  <c r="V9" s="1"/>
  <c r="D9"/>
  <c r="B9" s="1"/>
  <c r="BX8"/>
  <c r="BW8"/>
  <c r="BY8" s="1"/>
  <c r="BF8"/>
  <c r="BD8" s="1"/>
  <c r="AV8"/>
  <c r="AW8" s="1"/>
  <c r="AE8"/>
  <c r="AC8" s="1"/>
  <c r="U8"/>
  <c r="V8" s="1"/>
  <c r="D8"/>
  <c r="B8" s="1"/>
  <c r="BW7"/>
  <c r="BX7" s="1"/>
  <c r="BF7"/>
  <c r="BD7" s="1"/>
  <c r="AX7"/>
  <c r="AW7"/>
  <c r="AV7"/>
  <c r="AE7"/>
  <c r="AD7"/>
  <c r="AC7"/>
  <c r="U7"/>
  <c r="V7" s="1"/>
  <c r="D7"/>
  <c r="B7" s="1"/>
  <c r="BX6"/>
  <c r="BW6"/>
  <c r="BY6" s="1"/>
  <c r="BF6"/>
  <c r="BD6" s="1"/>
  <c r="AV6"/>
  <c r="AW6" s="1"/>
  <c r="AE6"/>
  <c r="AC6" s="1"/>
  <c r="U6"/>
  <c r="V6" s="1"/>
  <c r="D6"/>
  <c r="B6" s="1"/>
  <c r="BW5"/>
  <c r="BX5" s="1"/>
  <c r="BF5"/>
  <c r="BD5" s="1"/>
  <c r="AX5"/>
  <c r="AW5"/>
  <c r="AV5"/>
  <c r="AE5"/>
  <c r="AD5"/>
  <c r="AC5"/>
  <c r="U5"/>
  <c r="V5" s="1"/>
  <c r="D5"/>
  <c r="B5" s="1"/>
  <c r="BV22" i="42"/>
  <c r="BU22"/>
  <c r="BT22"/>
  <c r="BS22"/>
  <c r="BR22"/>
  <c r="BQ22"/>
  <c r="BP22"/>
  <c r="BO22"/>
  <c r="BN22"/>
  <c r="BM22"/>
  <c r="BL22"/>
  <c r="BK22"/>
  <c r="BJ22"/>
  <c r="BI22"/>
  <c r="BH22"/>
  <c r="BG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Y20" s="1"/>
  <c r="BF20"/>
  <c r="BE20" s="1"/>
  <c r="AE20"/>
  <c r="AC20" s="1"/>
  <c r="U20"/>
  <c r="W20" s="1"/>
  <c r="D20"/>
  <c r="C20" s="1"/>
  <c r="BY19"/>
  <c r="BW19"/>
  <c r="BX19" s="1"/>
  <c r="BF19"/>
  <c r="BD19" s="1"/>
  <c r="AE19"/>
  <c r="AD19" s="1"/>
  <c r="U19"/>
  <c r="V19" s="1"/>
  <c r="D19"/>
  <c r="B19" s="1"/>
  <c r="BX18"/>
  <c r="BW18"/>
  <c r="BY18" s="1"/>
  <c r="BF18"/>
  <c r="BE18" s="1"/>
  <c r="AE18"/>
  <c r="AC18" s="1"/>
  <c r="V18"/>
  <c r="U18"/>
  <c r="W18" s="1"/>
  <c r="D18"/>
  <c r="C18" s="1"/>
  <c r="B18"/>
  <c r="BY17"/>
  <c r="BX17"/>
  <c r="BW17"/>
  <c r="BF17"/>
  <c r="BD17" s="1"/>
  <c r="AE17"/>
  <c r="AD17" s="1"/>
  <c r="W17"/>
  <c r="V17"/>
  <c r="U17"/>
  <c r="D17"/>
  <c r="B17" s="1"/>
  <c r="BX16"/>
  <c r="BW16"/>
  <c r="BY16" s="1"/>
  <c r="BF16"/>
  <c r="BE16" s="1"/>
  <c r="AE16"/>
  <c r="AC16" s="1"/>
  <c r="U16"/>
  <c r="W16" s="1"/>
  <c r="D16"/>
  <c r="C16" s="1"/>
  <c r="BW15"/>
  <c r="BX15" s="1"/>
  <c r="BF15"/>
  <c r="BD15" s="1"/>
  <c r="AE15"/>
  <c r="AD15" s="1"/>
  <c r="W15"/>
  <c r="V15"/>
  <c r="U15"/>
  <c r="D15"/>
  <c r="B15" s="1"/>
  <c r="BW14"/>
  <c r="BY14" s="1"/>
  <c r="BF14"/>
  <c r="BE14" s="1"/>
  <c r="AE14"/>
  <c r="AC14" s="1"/>
  <c r="U14"/>
  <c r="W14" s="1"/>
  <c r="D14"/>
  <c r="C14" s="1"/>
  <c r="BY13"/>
  <c r="BW13"/>
  <c r="BX13" s="1"/>
  <c r="BF13"/>
  <c r="BD13" s="1"/>
  <c r="AE13"/>
  <c r="AD13" s="1"/>
  <c r="U13"/>
  <c r="V13" s="1"/>
  <c r="D13"/>
  <c r="B13" s="1"/>
  <c r="BX12"/>
  <c r="BW12"/>
  <c r="BY12" s="1"/>
  <c r="BF12"/>
  <c r="BE12" s="1"/>
  <c r="AE12"/>
  <c r="AC12" s="1"/>
  <c r="V12"/>
  <c r="U12"/>
  <c r="W12" s="1"/>
  <c r="D12"/>
  <c r="C12" s="1"/>
  <c r="BX11"/>
  <c r="BW11"/>
  <c r="BY11" s="1"/>
  <c r="BF11"/>
  <c r="BD11" s="1"/>
  <c r="AE11"/>
  <c r="AD11" s="1"/>
  <c r="U11"/>
  <c r="V11" s="1"/>
  <c r="D11"/>
  <c r="B11" s="1"/>
  <c r="BX10"/>
  <c r="BW10"/>
  <c r="BY10" s="1"/>
  <c r="BF10"/>
  <c r="BE10" s="1"/>
  <c r="AE10"/>
  <c r="AC10" s="1"/>
  <c r="U10"/>
  <c r="W10" s="1"/>
  <c r="D10"/>
  <c r="C10" s="1"/>
  <c r="B10"/>
  <c r="BY9"/>
  <c r="BW9"/>
  <c r="BX9" s="1"/>
  <c r="BF9"/>
  <c r="BD9" s="1"/>
  <c r="AE9"/>
  <c r="AD9" s="1"/>
  <c r="W9"/>
  <c r="U9"/>
  <c r="V9" s="1"/>
  <c r="D9"/>
  <c r="B9" s="1"/>
  <c r="BX8"/>
  <c r="BW8"/>
  <c r="BY8" s="1"/>
  <c r="BF8"/>
  <c r="BE8" s="1"/>
  <c r="BD8"/>
  <c r="AE8"/>
  <c r="AC8" s="1"/>
  <c r="V8"/>
  <c r="U8"/>
  <c r="W8" s="1"/>
  <c r="D8"/>
  <c r="C8" s="1"/>
  <c r="B8"/>
  <c r="BW7"/>
  <c r="BX7" s="1"/>
  <c r="BF7"/>
  <c r="BD7" s="1"/>
  <c r="AE7"/>
  <c r="AD7" s="1"/>
  <c r="W7"/>
  <c r="V7"/>
  <c r="U7"/>
  <c r="D7"/>
  <c r="B7" s="1"/>
  <c r="BW6"/>
  <c r="BY6" s="1"/>
  <c r="BF6"/>
  <c r="BE6" s="1"/>
  <c r="AE6"/>
  <c r="AC6" s="1"/>
  <c r="V6"/>
  <c r="U6"/>
  <c r="W6" s="1"/>
  <c r="D6"/>
  <c r="C6" s="1"/>
  <c r="B6"/>
  <c r="BY5"/>
  <c r="BX5"/>
  <c r="BW5"/>
  <c r="BF5"/>
  <c r="BE5" s="1"/>
  <c r="AE5"/>
  <c r="AD5" s="1"/>
  <c r="AU22" s="1"/>
  <c r="AC5"/>
  <c r="AT22" s="1"/>
  <c r="W5"/>
  <c r="V5"/>
  <c r="U5"/>
  <c r="D5"/>
  <c r="C5" s="1"/>
  <c r="BV22" i="41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Y20" s="1"/>
  <c r="BF20"/>
  <c r="BE20" s="1"/>
  <c r="AV20"/>
  <c r="AX20" s="1"/>
  <c r="AE20"/>
  <c r="AC20" s="1"/>
  <c r="U20"/>
  <c r="W20" s="1"/>
  <c r="D20"/>
  <c r="C20" s="1"/>
  <c r="BW19"/>
  <c r="BY19" s="1"/>
  <c r="BF19"/>
  <c r="BD19" s="1"/>
  <c r="AV19"/>
  <c r="AX19" s="1"/>
  <c r="AE19"/>
  <c r="AD19" s="1"/>
  <c r="W19"/>
  <c r="V19"/>
  <c r="U19"/>
  <c r="D19"/>
  <c r="B19" s="1"/>
  <c r="BW18"/>
  <c r="BY18" s="1"/>
  <c r="BF18"/>
  <c r="BE18" s="1"/>
  <c r="AX18"/>
  <c r="AV18"/>
  <c r="AW18" s="1"/>
  <c r="AE18"/>
  <c r="AC18" s="1"/>
  <c r="U18"/>
  <c r="W18" s="1"/>
  <c r="D18"/>
  <c r="C18" s="1"/>
  <c r="BX17"/>
  <c r="BW17"/>
  <c r="BY17" s="1"/>
  <c r="BF17"/>
  <c r="BD17" s="1"/>
  <c r="AV17"/>
  <c r="AX17" s="1"/>
  <c r="AE17"/>
  <c r="AD17" s="1"/>
  <c r="W17"/>
  <c r="U17"/>
  <c r="V17" s="1"/>
  <c r="D17"/>
  <c r="B17" s="1"/>
  <c r="BX16"/>
  <c r="BW16"/>
  <c r="BY16" s="1"/>
  <c r="BF16"/>
  <c r="BE16" s="1"/>
  <c r="AX16"/>
  <c r="AW16"/>
  <c r="AV16"/>
  <c r="AE16"/>
  <c r="AC16" s="1"/>
  <c r="V16"/>
  <c r="U16"/>
  <c r="W16" s="1"/>
  <c r="D16"/>
  <c r="C16" s="1"/>
  <c r="BW15"/>
  <c r="BX15" s="1"/>
  <c r="BF15"/>
  <c r="BD15" s="1"/>
  <c r="AV15"/>
  <c r="AX15" s="1"/>
  <c r="AE15"/>
  <c r="AD15" s="1"/>
  <c r="U15"/>
  <c r="W15" s="1"/>
  <c r="D15"/>
  <c r="B15" s="1"/>
  <c r="BX14"/>
  <c r="BW14"/>
  <c r="BY14" s="1"/>
  <c r="BF14"/>
  <c r="BE14" s="1"/>
  <c r="AW14"/>
  <c r="AV14"/>
  <c r="AX14" s="1"/>
  <c r="AE14"/>
  <c r="AC14" s="1"/>
  <c r="V14"/>
  <c r="U14"/>
  <c r="W14" s="1"/>
  <c r="D14"/>
  <c r="C14" s="1"/>
  <c r="BX13"/>
  <c r="BW13"/>
  <c r="BY13" s="1"/>
  <c r="BF13"/>
  <c r="BD13" s="1"/>
  <c r="AV13"/>
  <c r="AX13" s="1"/>
  <c r="AE13"/>
  <c r="AD13" s="1"/>
  <c r="U13"/>
  <c r="V13" s="1"/>
  <c r="D13"/>
  <c r="B13" s="1"/>
  <c r="BW12"/>
  <c r="BY12" s="1"/>
  <c r="BF12"/>
  <c r="BE12" s="1"/>
  <c r="AV12"/>
  <c r="AW12" s="1"/>
  <c r="AE12"/>
  <c r="AC12" s="1"/>
  <c r="V12"/>
  <c r="U12"/>
  <c r="W12" s="1"/>
  <c r="D12"/>
  <c r="C12" s="1"/>
  <c r="BX11"/>
  <c r="BW11"/>
  <c r="BY11" s="1"/>
  <c r="BF11"/>
  <c r="BD11" s="1"/>
  <c r="AW11"/>
  <c r="AV11"/>
  <c r="AX11" s="1"/>
  <c r="AE11"/>
  <c r="AD11" s="1"/>
  <c r="W11"/>
  <c r="V11"/>
  <c r="U11"/>
  <c r="D11"/>
  <c r="B11" s="1"/>
  <c r="BX10"/>
  <c r="BW10"/>
  <c r="BY10" s="1"/>
  <c r="BF10"/>
  <c r="BE10" s="1"/>
  <c r="AV10"/>
  <c r="AW10" s="1"/>
  <c r="AE10"/>
  <c r="AC10" s="1"/>
  <c r="U10"/>
  <c r="W10" s="1"/>
  <c r="D10"/>
  <c r="C10" s="1"/>
  <c r="BY9"/>
  <c r="BX9"/>
  <c r="BW9"/>
  <c r="BF9"/>
  <c r="BD9" s="1"/>
  <c r="AW9"/>
  <c r="AV9"/>
  <c r="AX9" s="1"/>
  <c r="AE9"/>
  <c r="AD9" s="1"/>
  <c r="W9"/>
  <c r="U9"/>
  <c r="V9" s="1"/>
  <c r="D9"/>
  <c r="B9" s="1"/>
  <c r="BW8"/>
  <c r="BY8" s="1"/>
  <c r="BF8"/>
  <c r="BE8" s="1"/>
  <c r="AV8"/>
  <c r="AW8" s="1"/>
  <c r="AE8"/>
  <c r="AC8" s="1"/>
  <c r="V8"/>
  <c r="U8"/>
  <c r="W8" s="1"/>
  <c r="D8"/>
  <c r="C8" s="1"/>
  <c r="B8"/>
  <c r="BY7"/>
  <c r="BX7"/>
  <c r="BW7"/>
  <c r="BF7"/>
  <c r="BD7" s="1"/>
  <c r="AV7"/>
  <c r="AX7" s="1"/>
  <c r="AE7"/>
  <c r="AD7" s="1"/>
  <c r="W7"/>
  <c r="V7"/>
  <c r="U7"/>
  <c r="D7"/>
  <c r="B7" s="1"/>
  <c r="BW6"/>
  <c r="BY6" s="1"/>
  <c r="BF6"/>
  <c r="BE6" s="1"/>
  <c r="AV6"/>
  <c r="AW6" s="1"/>
  <c r="AE6"/>
  <c r="AC6" s="1"/>
  <c r="V6"/>
  <c r="U6"/>
  <c r="W6" s="1"/>
  <c r="D6"/>
  <c r="C6" s="1"/>
  <c r="B6"/>
  <c r="BY5"/>
  <c r="BX5"/>
  <c r="BW5"/>
  <c r="BF5"/>
  <c r="BD5" s="1"/>
  <c r="AW5"/>
  <c r="AV5"/>
  <c r="AX5" s="1"/>
  <c r="AE5"/>
  <c r="AD5" s="1"/>
  <c r="W5"/>
  <c r="V5"/>
  <c r="U5"/>
  <c r="D5"/>
  <c r="B5" s="1"/>
  <c r="BV22" i="40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E20" s="1"/>
  <c r="AV20"/>
  <c r="AW20" s="1"/>
  <c r="AE20"/>
  <c r="AC20" s="1"/>
  <c r="U20"/>
  <c r="W20" s="1"/>
  <c r="D20"/>
  <c r="C20" s="1"/>
  <c r="BW19"/>
  <c r="BX19" s="1"/>
  <c r="BF19"/>
  <c r="BD19" s="1"/>
  <c r="AV19"/>
  <c r="AX19" s="1"/>
  <c r="AE19"/>
  <c r="AD19" s="1"/>
  <c r="U19"/>
  <c r="V19" s="1"/>
  <c r="D19"/>
  <c r="B19" s="1"/>
  <c r="BW18"/>
  <c r="BY18" s="1"/>
  <c r="BF18"/>
  <c r="BE18" s="1"/>
  <c r="AV18"/>
  <c r="AW18" s="1"/>
  <c r="AE18"/>
  <c r="AC18" s="1"/>
  <c r="U18"/>
  <c r="V18" s="1"/>
  <c r="D18"/>
  <c r="C18" s="1"/>
  <c r="BW17"/>
  <c r="BX17" s="1"/>
  <c r="BF17"/>
  <c r="BD17" s="1"/>
  <c r="AV17"/>
  <c r="AX17" s="1"/>
  <c r="AE17"/>
  <c r="AD17" s="1"/>
  <c r="U17"/>
  <c r="V17" s="1"/>
  <c r="D17"/>
  <c r="B17" s="1"/>
  <c r="BW16"/>
  <c r="BY16" s="1"/>
  <c r="BF16"/>
  <c r="BE16" s="1"/>
  <c r="AV16"/>
  <c r="AW16" s="1"/>
  <c r="AE16"/>
  <c r="AC16" s="1"/>
  <c r="V16"/>
  <c r="U16"/>
  <c r="W16" s="1"/>
  <c r="D16"/>
  <c r="B16" s="1"/>
  <c r="BW15"/>
  <c r="BX15" s="1"/>
  <c r="BF15"/>
  <c r="BD15" s="1"/>
  <c r="AV15"/>
  <c r="AX15" s="1"/>
  <c r="AE15"/>
  <c r="AD15" s="1"/>
  <c r="U15"/>
  <c r="V15" s="1"/>
  <c r="D15"/>
  <c r="B15" s="1"/>
  <c r="BW14"/>
  <c r="BY14" s="1"/>
  <c r="BF14"/>
  <c r="BE14" s="1"/>
  <c r="AV14"/>
  <c r="AW14" s="1"/>
  <c r="AE14"/>
  <c r="AC14" s="1"/>
  <c r="V14"/>
  <c r="U14"/>
  <c r="W14" s="1"/>
  <c r="D14"/>
  <c r="C14" s="1"/>
  <c r="BW13"/>
  <c r="BX13" s="1"/>
  <c r="BF13"/>
  <c r="BD13" s="1"/>
  <c r="AV13"/>
  <c r="AX13" s="1"/>
  <c r="AE13"/>
  <c r="AD13" s="1"/>
  <c r="U13"/>
  <c r="V13" s="1"/>
  <c r="D13"/>
  <c r="B13" s="1"/>
  <c r="BW12"/>
  <c r="BY12" s="1"/>
  <c r="BF12"/>
  <c r="BE12" s="1"/>
  <c r="AV12"/>
  <c r="AW12" s="1"/>
  <c r="AE12"/>
  <c r="AC12" s="1"/>
  <c r="V12"/>
  <c r="U12"/>
  <c r="W12" s="1"/>
  <c r="D12"/>
  <c r="B12" s="1"/>
  <c r="BW11"/>
  <c r="BX11" s="1"/>
  <c r="BF11"/>
  <c r="BD11" s="1"/>
  <c r="AV11"/>
  <c r="AX11" s="1"/>
  <c r="AE11"/>
  <c r="AD11" s="1"/>
  <c r="U11"/>
  <c r="V11" s="1"/>
  <c r="D11"/>
  <c r="B11" s="1"/>
  <c r="BW10"/>
  <c r="BY10" s="1"/>
  <c r="BF10"/>
  <c r="BE10" s="1"/>
  <c r="AV10"/>
  <c r="AW10" s="1"/>
  <c r="AE10"/>
  <c r="AC10" s="1"/>
  <c r="V10"/>
  <c r="U10"/>
  <c r="W10" s="1"/>
  <c r="D10"/>
  <c r="C10" s="1"/>
  <c r="BW9"/>
  <c r="BX9" s="1"/>
  <c r="BF9"/>
  <c r="BD9" s="1"/>
  <c r="AV9"/>
  <c r="AX9" s="1"/>
  <c r="AE9"/>
  <c r="AD9" s="1"/>
  <c r="U9"/>
  <c r="V9" s="1"/>
  <c r="D9"/>
  <c r="B9" s="1"/>
  <c r="BW8"/>
  <c r="BY8" s="1"/>
  <c r="BF8"/>
  <c r="BE8" s="1"/>
  <c r="AV8"/>
  <c r="AW8" s="1"/>
  <c r="AE8"/>
  <c r="AC8" s="1"/>
  <c r="W8"/>
  <c r="V8"/>
  <c r="U8"/>
  <c r="D8"/>
  <c r="B8" s="1"/>
  <c r="BW7"/>
  <c r="BX7" s="1"/>
  <c r="BF7"/>
  <c r="BD7" s="1"/>
  <c r="AV7"/>
  <c r="AX7" s="1"/>
  <c r="AE7"/>
  <c r="AD7" s="1"/>
  <c r="U7"/>
  <c r="V7" s="1"/>
  <c r="D7"/>
  <c r="B7" s="1"/>
  <c r="BW6"/>
  <c r="BY6" s="1"/>
  <c r="BF6"/>
  <c r="BE6" s="1"/>
  <c r="AV6"/>
  <c r="AW6" s="1"/>
  <c r="AE6"/>
  <c r="AC6" s="1"/>
  <c r="V6"/>
  <c r="U6"/>
  <c r="W6" s="1"/>
  <c r="D6"/>
  <c r="C6" s="1"/>
  <c r="BW5"/>
  <c r="BX5" s="1"/>
  <c r="BF5"/>
  <c r="BD5" s="1"/>
  <c r="AV5"/>
  <c r="AX5" s="1"/>
  <c r="AE5"/>
  <c r="AD5" s="1"/>
  <c r="U5"/>
  <c r="V5" s="1"/>
  <c r="D5"/>
  <c r="B5" s="1"/>
  <c r="BV22" i="39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Y20" s="1"/>
  <c r="BF20"/>
  <c r="BE20" s="1"/>
  <c r="AV20"/>
  <c r="AX20" s="1"/>
  <c r="AE20"/>
  <c r="AC20" s="1"/>
  <c r="U20"/>
  <c r="W20" s="1"/>
  <c r="D20"/>
  <c r="C20" s="1"/>
  <c r="BW19"/>
  <c r="BX19" s="1"/>
  <c r="BF19"/>
  <c r="BD19" s="1"/>
  <c r="AV19"/>
  <c r="AX19" s="1"/>
  <c r="AE19"/>
  <c r="AD19" s="1"/>
  <c r="U19"/>
  <c r="W19" s="1"/>
  <c r="D19"/>
  <c r="B19" s="1"/>
  <c r="BW18"/>
  <c r="BY18" s="1"/>
  <c r="BF18"/>
  <c r="BE18" s="1"/>
  <c r="AV18"/>
  <c r="AW18" s="1"/>
  <c r="AE18"/>
  <c r="AC18" s="1"/>
  <c r="U18"/>
  <c r="W18" s="1"/>
  <c r="D18"/>
  <c r="C18" s="1"/>
  <c r="BW17"/>
  <c r="BY17" s="1"/>
  <c r="BF17"/>
  <c r="BD17" s="1"/>
  <c r="AV17"/>
  <c r="AX17" s="1"/>
  <c r="AE17"/>
  <c r="AD17" s="1"/>
  <c r="U17"/>
  <c r="W17" s="1"/>
  <c r="D17"/>
  <c r="B17" s="1"/>
  <c r="BW16"/>
  <c r="BY16" s="1"/>
  <c r="BF16"/>
  <c r="BE16" s="1"/>
  <c r="BD16"/>
  <c r="AV16"/>
  <c r="AW16" s="1"/>
  <c r="AE16"/>
  <c r="AC16" s="1"/>
  <c r="U16"/>
  <c r="W16" s="1"/>
  <c r="D16"/>
  <c r="C16" s="1"/>
  <c r="BW15"/>
  <c r="BY15" s="1"/>
  <c r="BF15"/>
  <c r="BD15" s="1"/>
  <c r="AW15"/>
  <c r="AV15"/>
  <c r="AX15" s="1"/>
  <c r="AE15"/>
  <c r="AD15" s="1"/>
  <c r="AC15"/>
  <c r="U15"/>
  <c r="W15" s="1"/>
  <c r="D15"/>
  <c r="B15" s="1"/>
  <c r="BW14"/>
  <c r="BY14" s="1"/>
  <c r="BF14"/>
  <c r="BE14" s="1"/>
  <c r="AV14"/>
  <c r="AW14" s="1"/>
  <c r="AE14"/>
  <c r="AC14" s="1"/>
  <c r="U14"/>
  <c r="W14" s="1"/>
  <c r="D14"/>
  <c r="C14" s="1"/>
  <c r="BW13"/>
  <c r="BY13" s="1"/>
  <c r="BF13"/>
  <c r="BD13" s="1"/>
  <c r="AW13"/>
  <c r="AV13"/>
  <c r="AX13" s="1"/>
  <c r="AE13"/>
  <c r="AD13" s="1"/>
  <c r="AC13"/>
  <c r="U13"/>
  <c r="W13" s="1"/>
  <c r="D13"/>
  <c r="B13" s="1"/>
  <c r="BW12"/>
  <c r="BY12" s="1"/>
  <c r="BF12"/>
  <c r="BE12" s="1"/>
  <c r="AV12"/>
  <c r="AW12" s="1"/>
  <c r="AE12"/>
  <c r="AC12" s="1"/>
  <c r="U12"/>
  <c r="W12" s="1"/>
  <c r="D12"/>
  <c r="C12" s="1"/>
  <c r="BW11"/>
  <c r="BX11" s="1"/>
  <c r="BF11"/>
  <c r="BD11" s="1"/>
  <c r="AW11"/>
  <c r="AV11"/>
  <c r="AX11" s="1"/>
  <c r="AE11"/>
  <c r="AD11" s="1"/>
  <c r="U11"/>
  <c r="W11" s="1"/>
  <c r="D11"/>
  <c r="B11" s="1"/>
  <c r="BW10"/>
  <c r="BY10" s="1"/>
  <c r="BF10"/>
  <c r="BE10" s="1"/>
  <c r="AV10"/>
  <c r="AW10" s="1"/>
  <c r="AE10"/>
  <c r="AC10" s="1"/>
  <c r="U10"/>
  <c r="W10" s="1"/>
  <c r="D10"/>
  <c r="C10" s="1"/>
  <c r="BW9"/>
  <c r="BX9" s="1"/>
  <c r="BF9"/>
  <c r="BD9" s="1"/>
  <c r="AV9"/>
  <c r="AX9" s="1"/>
  <c r="AE9"/>
  <c r="AD9" s="1"/>
  <c r="U9"/>
  <c r="W9" s="1"/>
  <c r="D9"/>
  <c r="B9" s="1"/>
  <c r="BW8"/>
  <c r="BY8" s="1"/>
  <c r="BF8"/>
  <c r="BE8" s="1"/>
  <c r="AV8"/>
  <c r="AW8" s="1"/>
  <c r="AE8"/>
  <c r="AC8" s="1"/>
  <c r="U8"/>
  <c r="W8" s="1"/>
  <c r="D8"/>
  <c r="C8" s="1"/>
  <c r="BW7"/>
  <c r="BY7" s="1"/>
  <c r="BF7"/>
  <c r="BD7" s="1"/>
  <c r="AV7"/>
  <c r="AX7" s="1"/>
  <c r="AE7"/>
  <c r="AD7" s="1"/>
  <c r="U7"/>
  <c r="W7" s="1"/>
  <c r="D7"/>
  <c r="B7" s="1"/>
  <c r="BW6"/>
  <c r="BY6" s="1"/>
  <c r="BF6"/>
  <c r="BE6" s="1"/>
  <c r="AV6"/>
  <c r="AW6" s="1"/>
  <c r="AE6"/>
  <c r="AC6" s="1"/>
  <c r="U6"/>
  <c r="W6" s="1"/>
  <c r="D6"/>
  <c r="C6" s="1"/>
  <c r="BY5"/>
  <c r="BW5"/>
  <c r="BX5" s="1"/>
  <c r="BF5"/>
  <c r="BE5" s="1"/>
  <c r="AW5"/>
  <c r="AV5"/>
  <c r="AX5" s="1"/>
  <c r="AE5"/>
  <c r="AD5" s="1"/>
  <c r="U5"/>
  <c r="W5" s="1"/>
  <c r="D5"/>
  <c r="C5" s="1"/>
  <c r="BV22" i="38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Y20" s="1"/>
  <c r="BF20"/>
  <c r="BE20" s="1"/>
  <c r="AV20"/>
  <c r="AW20" s="1"/>
  <c r="AE20"/>
  <c r="AC20" s="1"/>
  <c r="U20"/>
  <c r="W20" s="1"/>
  <c r="D20"/>
  <c r="C20" s="1"/>
  <c r="BW19"/>
  <c r="BX19" s="1"/>
  <c r="BF19"/>
  <c r="BD19" s="1"/>
  <c r="AV19"/>
  <c r="AX19" s="1"/>
  <c r="AE19"/>
  <c r="AD19" s="1"/>
  <c r="U19"/>
  <c r="V19" s="1"/>
  <c r="D19"/>
  <c r="B19" s="1"/>
  <c r="BW18"/>
  <c r="BY18" s="1"/>
  <c r="BF18"/>
  <c r="BE18" s="1"/>
  <c r="BD18"/>
  <c r="AV18"/>
  <c r="AW18" s="1"/>
  <c r="AE18"/>
  <c r="AC18" s="1"/>
  <c r="U18"/>
  <c r="W18" s="1"/>
  <c r="D18"/>
  <c r="C18" s="1"/>
  <c r="BW17"/>
  <c r="BX17" s="1"/>
  <c r="BF17"/>
  <c r="BD17" s="1"/>
  <c r="AV17"/>
  <c r="AX17" s="1"/>
  <c r="AE17"/>
  <c r="AD17" s="1"/>
  <c r="U17"/>
  <c r="V17" s="1"/>
  <c r="D17"/>
  <c r="B17" s="1"/>
  <c r="BW16"/>
  <c r="BY16" s="1"/>
  <c r="BF16"/>
  <c r="BE16" s="1"/>
  <c r="AV16"/>
  <c r="AW16" s="1"/>
  <c r="AE16"/>
  <c r="AC16" s="1"/>
  <c r="U16"/>
  <c r="W16" s="1"/>
  <c r="D16"/>
  <c r="C16" s="1"/>
  <c r="BY15"/>
  <c r="BX15"/>
  <c r="BW15"/>
  <c r="BF15"/>
  <c r="BD15" s="1"/>
  <c r="AV15"/>
  <c r="AX15" s="1"/>
  <c r="AE15"/>
  <c r="AD15" s="1"/>
  <c r="U15"/>
  <c r="V15" s="1"/>
  <c r="D15"/>
  <c r="B15" s="1"/>
  <c r="BW14"/>
  <c r="BY14" s="1"/>
  <c r="BF14"/>
  <c r="BE14" s="1"/>
  <c r="AV14"/>
  <c r="AW14" s="1"/>
  <c r="AE14"/>
  <c r="AC14" s="1"/>
  <c r="U14"/>
  <c r="W14" s="1"/>
  <c r="D14"/>
  <c r="C14" s="1"/>
  <c r="BY13"/>
  <c r="BW13"/>
  <c r="BX13" s="1"/>
  <c r="BF13"/>
  <c r="BD13" s="1"/>
  <c r="AV13"/>
  <c r="AX13" s="1"/>
  <c r="AE13"/>
  <c r="AD13" s="1"/>
  <c r="U13"/>
  <c r="V13" s="1"/>
  <c r="D13"/>
  <c r="B13" s="1"/>
  <c r="BW12"/>
  <c r="BY12" s="1"/>
  <c r="BF12"/>
  <c r="BE12" s="1"/>
  <c r="BD12"/>
  <c r="AV12"/>
  <c r="AW12" s="1"/>
  <c r="AE12"/>
  <c r="AC12" s="1"/>
  <c r="U12"/>
  <c r="W12" s="1"/>
  <c r="D12"/>
  <c r="C12" s="1"/>
  <c r="BW11"/>
  <c r="BX11" s="1"/>
  <c r="BF11"/>
  <c r="BD11" s="1"/>
  <c r="AV11"/>
  <c r="AX11" s="1"/>
  <c r="AE11"/>
  <c r="AD11" s="1"/>
  <c r="U11"/>
  <c r="V11" s="1"/>
  <c r="D11"/>
  <c r="B11" s="1"/>
  <c r="BW10"/>
  <c r="BY10" s="1"/>
  <c r="BF10"/>
  <c r="BE10" s="1"/>
  <c r="AX10"/>
  <c r="AV10"/>
  <c r="AW10" s="1"/>
  <c r="AE10"/>
  <c r="AC10" s="1"/>
  <c r="U10"/>
  <c r="W10" s="1"/>
  <c r="D10"/>
  <c r="C10" s="1"/>
  <c r="BW9"/>
  <c r="BX9" s="1"/>
  <c r="BF9"/>
  <c r="BD9" s="1"/>
  <c r="AV9"/>
  <c r="AX9" s="1"/>
  <c r="AE9"/>
  <c r="AD9" s="1"/>
  <c r="U9"/>
  <c r="V9" s="1"/>
  <c r="D9"/>
  <c r="B9" s="1"/>
  <c r="BW8"/>
  <c r="BY8" s="1"/>
  <c r="BF8"/>
  <c r="BE8" s="1"/>
  <c r="AV8"/>
  <c r="AW8" s="1"/>
  <c r="AE8"/>
  <c r="AC8" s="1"/>
  <c r="U8"/>
  <c r="W8" s="1"/>
  <c r="D8"/>
  <c r="C8" s="1"/>
  <c r="BY7"/>
  <c r="BX7"/>
  <c r="BW7"/>
  <c r="BF7"/>
  <c r="BD7" s="1"/>
  <c r="AV7"/>
  <c r="AX7" s="1"/>
  <c r="AE7"/>
  <c r="AD7" s="1"/>
  <c r="U7"/>
  <c r="W7" s="1"/>
  <c r="D7"/>
  <c r="B7" s="1"/>
  <c r="BX6"/>
  <c r="BW6"/>
  <c r="BY6" s="1"/>
  <c r="BF6"/>
  <c r="BE6" s="1"/>
  <c r="BD6"/>
  <c r="AV6"/>
  <c r="AW6" s="1"/>
  <c r="AE6"/>
  <c r="AC6" s="1"/>
  <c r="U6"/>
  <c r="W6" s="1"/>
  <c r="D6"/>
  <c r="C6" s="1"/>
  <c r="BY5"/>
  <c r="BW5"/>
  <c r="BX5" s="1"/>
  <c r="BF5"/>
  <c r="BD5" s="1"/>
  <c r="AV5"/>
  <c r="AX5" s="1"/>
  <c r="AE5"/>
  <c r="AD5" s="1"/>
  <c r="V5"/>
  <c r="U5"/>
  <c r="W5" s="1"/>
  <c r="D5"/>
  <c r="B5" s="1"/>
  <c r="BV22" i="37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AV22" s="1"/>
  <c r="T22"/>
  <c r="S22"/>
  <c r="R22"/>
  <c r="Q22"/>
  <c r="P22"/>
  <c r="O22"/>
  <c r="N22"/>
  <c r="M22"/>
  <c r="L22"/>
  <c r="K22"/>
  <c r="J22"/>
  <c r="I22"/>
  <c r="H22"/>
  <c r="G22"/>
  <c r="F22"/>
  <c r="E22"/>
  <c r="BW20"/>
  <c r="BY20" s="1"/>
  <c r="BF20"/>
  <c r="BE20" s="1"/>
  <c r="AV20"/>
  <c r="AX20" s="1"/>
  <c r="AE20"/>
  <c r="AC20" s="1"/>
  <c r="D20"/>
  <c r="C20" s="1"/>
  <c r="BX19"/>
  <c r="BW19"/>
  <c r="BY19" s="1"/>
  <c r="BF19"/>
  <c r="BD19" s="1"/>
  <c r="AV19"/>
  <c r="AX19" s="1"/>
  <c r="AE19"/>
  <c r="AD19" s="1"/>
  <c r="D19"/>
  <c r="B19" s="1"/>
  <c r="BW18"/>
  <c r="BY18" s="1"/>
  <c r="BF18"/>
  <c r="BE18" s="1"/>
  <c r="AV18"/>
  <c r="AX18" s="1"/>
  <c r="AE18"/>
  <c r="AC18" s="1"/>
  <c r="D18"/>
  <c r="C18" s="1"/>
  <c r="BW17"/>
  <c r="BY17" s="1"/>
  <c r="BF17"/>
  <c r="BD17" s="1"/>
  <c r="AV17"/>
  <c r="AX17" s="1"/>
  <c r="AE17"/>
  <c r="AD17" s="1"/>
  <c r="D17"/>
  <c r="B17" s="1"/>
  <c r="BW16"/>
  <c r="BY16" s="1"/>
  <c r="BF16"/>
  <c r="BE16" s="1"/>
  <c r="AW16"/>
  <c r="AV16"/>
  <c r="AX16" s="1"/>
  <c r="AE16"/>
  <c r="AC16" s="1"/>
  <c r="D16"/>
  <c r="C16" s="1"/>
  <c r="BW15"/>
  <c r="BY15" s="1"/>
  <c r="BF15"/>
  <c r="BD15" s="1"/>
  <c r="AV15"/>
  <c r="AX15" s="1"/>
  <c r="AE15"/>
  <c r="AD15" s="1"/>
  <c r="D15"/>
  <c r="B15" s="1"/>
  <c r="BX14"/>
  <c r="BW14"/>
  <c r="BY14" s="1"/>
  <c r="BF14"/>
  <c r="BE14" s="1"/>
  <c r="AV14"/>
  <c r="AX14" s="1"/>
  <c r="AE14"/>
  <c r="AC14" s="1"/>
  <c r="D14"/>
  <c r="C14" s="1"/>
  <c r="BW13"/>
  <c r="BY13" s="1"/>
  <c r="BF13"/>
  <c r="BD13" s="1"/>
  <c r="AV13"/>
  <c r="AX13" s="1"/>
  <c r="AE13"/>
  <c r="AD13" s="1"/>
  <c r="D13"/>
  <c r="B13" s="1"/>
  <c r="BW12"/>
  <c r="BY12" s="1"/>
  <c r="BF12"/>
  <c r="BE12" s="1"/>
  <c r="AV12"/>
  <c r="AW12" s="1"/>
  <c r="AE12"/>
  <c r="AC12" s="1"/>
  <c r="D12"/>
  <c r="C12" s="1"/>
  <c r="BW11"/>
  <c r="BY11" s="1"/>
  <c r="BF11"/>
  <c r="BD11" s="1"/>
  <c r="AV11"/>
  <c r="AX11" s="1"/>
  <c r="AE11"/>
  <c r="AD11" s="1"/>
  <c r="D11"/>
  <c r="B11" s="1"/>
  <c r="BW10"/>
  <c r="BY10" s="1"/>
  <c r="BF10"/>
  <c r="BE10" s="1"/>
  <c r="AV10"/>
  <c r="AW10" s="1"/>
  <c r="AE10"/>
  <c r="AC10" s="1"/>
  <c r="D10"/>
  <c r="C10" s="1"/>
  <c r="BY9"/>
  <c r="BW9"/>
  <c r="BX9" s="1"/>
  <c r="BF9"/>
  <c r="BD9" s="1"/>
  <c r="AW9"/>
  <c r="AV9"/>
  <c r="AX9" s="1"/>
  <c r="AE9"/>
  <c r="AD9" s="1"/>
  <c r="AC9"/>
  <c r="D9"/>
  <c r="B9" s="1"/>
  <c r="BX8"/>
  <c r="BW8"/>
  <c r="BY8" s="1"/>
  <c r="BF8"/>
  <c r="BE8" s="1"/>
  <c r="AV8"/>
  <c r="AX8" s="1"/>
  <c r="AE8"/>
  <c r="AC8" s="1"/>
  <c r="D8"/>
  <c r="C8" s="1"/>
  <c r="BX7"/>
  <c r="BW7"/>
  <c r="BY7" s="1"/>
  <c r="BF7"/>
  <c r="BD7" s="1"/>
  <c r="AV7"/>
  <c r="AX7" s="1"/>
  <c r="AE7"/>
  <c r="AD7" s="1"/>
  <c r="D7"/>
  <c r="B7" s="1"/>
  <c r="BW6"/>
  <c r="BY6" s="1"/>
  <c r="BF6"/>
  <c r="BE6" s="1"/>
  <c r="AV6"/>
  <c r="AX6" s="1"/>
  <c r="AE6"/>
  <c r="AC6" s="1"/>
  <c r="D6"/>
  <c r="C6" s="1"/>
  <c r="BX5"/>
  <c r="BW5"/>
  <c r="BY5" s="1"/>
  <c r="BF5"/>
  <c r="BD5" s="1"/>
  <c r="AV5"/>
  <c r="AX5" s="1"/>
  <c r="AE5"/>
  <c r="AD5" s="1"/>
  <c r="U5"/>
  <c r="V5" s="1"/>
  <c r="D5"/>
  <c r="C5" s="1"/>
  <c r="BV22" i="36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AV22" s="1"/>
  <c r="T22"/>
  <c r="S22"/>
  <c r="R22"/>
  <c r="Q22"/>
  <c r="P22"/>
  <c r="O22"/>
  <c r="N22"/>
  <c r="M22"/>
  <c r="L22"/>
  <c r="K22"/>
  <c r="J22"/>
  <c r="I22"/>
  <c r="H22"/>
  <c r="G22"/>
  <c r="F22"/>
  <c r="E22"/>
  <c r="U22" s="1"/>
  <c r="BW20"/>
  <c r="BX20" s="1"/>
  <c r="BF20"/>
  <c r="BD20" s="1"/>
  <c r="AV20"/>
  <c r="AW20" s="1"/>
  <c r="AE20"/>
  <c r="AC20" s="1"/>
  <c r="D20"/>
  <c r="B20" s="1"/>
  <c r="BW19"/>
  <c r="BY19" s="1"/>
  <c r="BF19"/>
  <c r="BE19" s="1"/>
  <c r="AV19"/>
  <c r="AW19" s="1"/>
  <c r="AE19"/>
  <c r="AC19" s="1"/>
  <c r="D19"/>
  <c r="B19" s="1"/>
  <c r="BW18"/>
  <c r="BX18" s="1"/>
  <c r="BF18"/>
  <c r="BD18" s="1"/>
  <c r="AV18"/>
  <c r="AW18" s="1"/>
  <c r="AE18"/>
  <c r="AC18" s="1"/>
  <c r="D18"/>
  <c r="B18" s="1"/>
  <c r="BW17"/>
  <c r="BY17" s="1"/>
  <c r="BF17"/>
  <c r="BE17" s="1"/>
  <c r="AV17"/>
  <c r="AW17" s="1"/>
  <c r="AE17"/>
  <c r="AC17" s="1"/>
  <c r="D17"/>
  <c r="B17" s="1"/>
  <c r="BW16"/>
  <c r="BX16" s="1"/>
  <c r="BF16"/>
  <c r="BD16" s="1"/>
  <c r="AV16"/>
  <c r="AW16" s="1"/>
  <c r="AE16"/>
  <c r="AC16" s="1"/>
  <c r="D16"/>
  <c r="B16" s="1"/>
  <c r="BW15"/>
  <c r="BY15" s="1"/>
  <c r="BF15"/>
  <c r="BE15" s="1"/>
  <c r="AV15"/>
  <c r="AW15" s="1"/>
  <c r="AE15"/>
  <c r="AC15" s="1"/>
  <c r="D15"/>
  <c r="B15" s="1"/>
  <c r="BW14"/>
  <c r="BX14" s="1"/>
  <c r="BF14"/>
  <c r="BD14" s="1"/>
  <c r="AV14"/>
  <c r="AW14" s="1"/>
  <c r="AE14"/>
  <c r="AC14" s="1"/>
  <c r="D14"/>
  <c r="B14" s="1"/>
  <c r="BW13"/>
  <c r="BY13" s="1"/>
  <c r="BF13"/>
  <c r="BE13" s="1"/>
  <c r="AV13"/>
  <c r="AW13" s="1"/>
  <c r="AE13"/>
  <c r="AC13" s="1"/>
  <c r="D13"/>
  <c r="B13" s="1"/>
  <c r="BW12"/>
  <c r="BX12" s="1"/>
  <c r="BF12"/>
  <c r="BD12" s="1"/>
  <c r="AV12"/>
  <c r="AW12" s="1"/>
  <c r="AE12"/>
  <c r="AC12" s="1"/>
  <c r="D12"/>
  <c r="B12" s="1"/>
  <c r="BW11"/>
  <c r="BY11" s="1"/>
  <c r="BF11"/>
  <c r="BE11" s="1"/>
  <c r="AV11"/>
  <c r="AW11" s="1"/>
  <c r="AE11"/>
  <c r="AC11" s="1"/>
  <c r="D11"/>
  <c r="B11" s="1"/>
  <c r="BW10"/>
  <c r="BX10" s="1"/>
  <c r="BF10"/>
  <c r="BD10" s="1"/>
  <c r="AV10"/>
  <c r="AW10" s="1"/>
  <c r="AE10"/>
  <c r="AC10" s="1"/>
  <c r="D10"/>
  <c r="B10" s="1"/>
  <c r="BW9"/>
  <c r="BY9" s="1"/>
  <c r="BF9"/>
  <c r="BE9" s="1"/>
  <c r="AV9"/>
  <c r="AW9" s="1"/>
  <c r="AE9"/>
  <c r="AC9" s="1"/>
  <c r="D9"/>
  <c r="B9" s="1"/>
  <c r="BW8"/>
  <c r="BX8" s="1"/>
  <c r="BF8"/>
  <c r="BD8" s="1"/>
  <c r="AV8"/>
  <c r="AW8" s="1"/>
  <c r="AE8"/>
  <c r="AC8" s="1"/>
  <c r="D8"/>
  <c r="B8" s="1"/>
  <c r="BW7"/>
  <c r="BY7" s="1"/>
  <c r="BF7"/>
  <c r="BD7" s="1"/>
  <c r="AV7"/>
  <c r="AW7" s="1"/>
  <c r="AE7"/>
  <c r="AC7" s="1"/>
  <c r="D7"/>
  <c r="B7" s="1"/>
  <c r="BW6"/>
  <c r="BX6" s="1"/>
  <c r="BF6"/>
  <c r="BD6" s="1"/>
  <c r="AW6"/>
  <c r="AV6"/>
  <c r="AX6" s="1"/>
  <c r="AE6"/>
  <c r="AD6" s="1"/>
  <c r="AC6"/>
  <c r="D6"/>
  <c r="B6" s="1"/>
  <c r="BW5"/>
  <c r="BY5" s="1"/>
  <c r="BF5"/>
  <c r="BD5" s="1"/>
  <c r="AV5"/>
  <c r="AW5" s="1"/>
  <c r="AE5"/>
  <c r="AC5" s="1"/>
  <c r="U5"/>
  <c r="V5" s="1"/>
  <c r="D5"/>
  <c r="B5" s="1"/>
  <c r="AX20" i="46" l="1"/>
  <c r="AC24" i="59"/>
  <c r="AB28" s="1"/>
  <c r="E90" i="48" s="1"/>
  <c r="S90" s="1"/>
  <c r="BD20" i="40"/>
  <c r="BX20" i="39"/>
  <c r="AV22" i="38"/>
  <c r="AW22" s="1"/>
  <c r="BW22"/>
  <c r="BD11" i="46"/>
  <c r="BW11"/>
  <c r="BW5"/>
  <c r="BX7"/>
  <c r="BY7"/>
  <c r="BX19"/>
  <c r="BY19"/>
  <c r="BD15"/>
  <c r="BW15" s="1"/>
  <c r="BD17"/>
  <c r="BW17" s="1"/>
  <c r="BE18"/>
  <c r="BW18" s="1"/>
  <c r="BU22"/>
  <c r="BE16"/>
  <c r="BW16" s="1"/>
  <c r="BE20"/>
  <c r="BW20" s="1"/>
  <c r="AD12"/>
  <c r="AD6"/>
  <c r="AX6"/>
  <c r="AD8"/>
  <c r="AX8"/>
  <c r="AX10"/>
  <c r="AC16"/>
  <c r="AD19"/>
  <c r="AX16"/>
  <c r="V9"/>
  <c r="C15"/>
  <c r="W17"/>
  <c r="W19"/>
  <c r="BD24" i="61"/>
  <c r="BC28" s="1"/>
  <c r="E100" i="48" s="1"/>
  <c r="S100" s="1"/>
  <c r="AC24" i="61"/>
  <c r="AB28" s="1"/>
  <c r="E99" i="48" s="1"/>
  <c r="S99" s="1"/>
  <c r="BD24" i="60"/>
  <c r="BC28" s="1"/>
  <c r="E97" i="48" s="1"/>
  <c r="S97" s="1"/>
  <c r="AC24" i="60"/>
  <c r="AB28" s="1"/>
  <c r="E96" i="48" s="1"/>
  <c r="S96" s="1"/>
  <c r="BX16" i="57"/>
  <c r="BX7"/>
  <c r="BY7"/>
  <c r="BX19"/>
  <c r="BY19"/>
  <c r="BX9"/>
  <c r="BY9"/>
  <c r="BX17"/>
  <c r="BY17"/>
  <c r="BX11"/>
  <c r="BY11"/>
  <c r="BX10"/>
  <c r="BY10"/>
  <c r="BX13"/>
  <c r="BY13"/>
  <c r="BX14"/>
  <c r="BY14"/>
  <c r="BX6"/>
  <c r="BY6"/>
  <c r="BY20"/>
  <c r="BX20"/>
  <c r="BX18"/>
  <c r="BY18"/>
  <c r="BX12"/>
  <c r="BY12"/>
  <c r="AC24"/>
  <c r="AB28" s="1"/>
  <c r="E93" i="48" s="1"/>
  <c r="S93" s="1"/>
  <c r="BD24" i="59"/>
  <c r="BC28" s="1"/>
  <c r="E91" i="48" s="1"/>
  <c r="S91" s="1"/>
  <c r="BD24" i="58"/>
  <c r="BC28" s="1"/>
  <c r="E88" i="48" s="1"/>
  <c r="S88" s="1"/>
  <c r="BX19" i="45"/>
  <c r="BX20"/>
  <c r="BX6"/>
  <c r="BX12"/>
  <c r="BX8"/>
  <c r="BX18"/>
  <c r="AC5"/>
  <c r="AC7"/>
  <c r="AC9"/>
  <c r="AW14"/>
  <c r="AC19"/>
  <c r="AW20"/>
  <c r="AW5"/>
  <c r="AW7"/>
  <c r="AW9"/>
  <c r="AW13"/>
  <c r="AW17"/>
  <c r="AW19"/>
  <c r="B6"/>
  <c r="B8"/>
  <c r="W5"/>
  <c r="V6"/>
  <c r="W7"/>
  <c r="V8"/>
  <c r="V19"/>
  <c r="W9"/>
  <c r="V20"/>
  <c r="AC24" i="52"/>
  <c r="AB28" s="1"/>
  <c r="E81" i="48" s="1"/>
  <c r="S81" s="1"/>
  <c r="V11" i="52"/>
  <c r="W11"/>
  <c r="W20"/>
  <c r="V20"/>
  <c r="V12"/>
  <c r="W12"/>
  <c r="V13"/>
  <c r="W13"/>
  <c r="V15"/>
  <c r="W15"/>
  <c r="V7"/>
  <c r="W7"/>
  <c r="V16"/>
  <c r="W16"/>
  <c r="V8"/>
  <c r="W8"/>
  <c r="V9"/>
  <c r="W9"/>
  <c r="U17"/>
  <c r="V10"/>
  <c r="W10"/>
  <c r="V18"/>
  <c r="W18"/>
  <c r="U19"/>
  <c r="V14"/>
  <c r="W14"/>
  <c r="V6"/>
  <c r="W6"/>
  <c r="BD24" i="56"/>
  <c r="BC28" s="1"/>
  <c r="E79" i="48" s="1"/>
  <c r="S79" s="1"/>
  <c r="AC24" i="56"/>
  <c r="AB28" s="1"/>
  <c r="E78" i="48" s="1"/>
  <c r="S78" s="1"/>
  <c r="BD24" i="55"/>
  <c r="BC28" s="1"/>
  <c r="E76" i="48" s="1"/>
  <c r="S76" s="1"/>
  <c r="AC24" i="55"/>
  <c r="AB28" s="1"/>
  <c r="E75" i="48" s="1"/>
  <c r="S75" s="1"/>
  <c r="B24" i="55"/>
  <c r="A28" s="1"/>
  <c r="E74" i="48" s="1"/>
  <c r="S74" s="1"/>
  <c r="BD24" i="54"/>
  <c r="BC28" s="1"/>
  <c r="E73" i="48" s="1"/>
  <c r="S73" s="1"/>
  <c r="AC24" i="54"/>
  <c r="AB28" s="1"/>
  <c r="E72" i="48" s="1"/>
  <c r="S72" s="1"/>
  <c r="BD24" i="53"/>
  <c r="BC28" s="1"/>
  <c r="E70" i="48" s="1"/>
  <c r="AC24" i="53"/>
  <c r="AB28" s="1"/>
  <c r="E69" i="48" s="1"/>
  <c r="B24" i="53"/>
  <c r="A28" s="1"/>
  <c r="E68" i="48" s="1"/>
  <c r="BY17" i="44"/>
  <c r="BY7"/>
  <c r="BY19"/>
  <c r="AD6"/>
  <c r="AD8"/>
  <c r="AX12"/>
  <c r="AX14"/>
  <c r="AX16"/>
  <c r="AX20"/>
  <c r="C5"/>
  <c r="W5"/>
  <c r="C7"/>
  <c r="W7"/>
  <c r="W9"/>
  <c r="W17"/>
  <c r="W11"/>
  <c r="W19"/>
  <c r="BE6" i="43"/>
  <c r="BE8"/>
  <c r="BY16"/>
  <c r="BY18"/>
  <c r="AX9"/>
  <c r="AX11"/>
  <c r="AX13"/>
  <c r="AX15"/>
  <c r="AX17"/>
  <c r="AX19"/>
  <c r="C6"/>
  <c r="W6"/>
  <c r="C8"/>
  <c r="W8"/>
  <c r="W20"/>
  <c r="BD6" i="42"/>
  <c r="BY7"/>
  <c r="BY15"/>
  <c r="BX20"/>
  <c r="BX6"/>
  <c r="BX14"/>
  <c r="AV5"/>
  <c r="V10"/>
  <c r="W13"/>
  <c r="B14"/>
  <c r="V16"/>
  <c r="W19"/>
  <c r="B20"/>
  <c r="W11"/>
  <c r="V14"/>
  <c r="V20"/>
  <c r="BD6" i="41"/>
  <c r="BD8"/>
  <c r="BY15"/>
  <c r="BX19"/>
  <c r="BX6"/>
  <c r="BX8"/>
  <c r="BX12"/>
  <c r="BX18"/>
  <c r="BX20"/>
  <c r="AX6"/>
  <c r="AX12"/>
  <c r="AW13"/>
  <c r="AW7"/>
  <c r="AX8"/>
  <c r="AX10"/>
  <c r="AW15"/>
  <c r="AW17"/>
  <c r="AW19"/>
  <c r="AW20"/>
  <c r="AC5"/>
  <c r="V10"/>
  <c r="W13"/>
  <c r="V15"/>
  <c r="V18"/>
  <c r="V20"/>
  <c r="AV22" i="40"/>
  <c r="V20"/>
  <c r="W18"/>
  <c r="BX6" i="39"/>
  <c r="BD8"/>
  <c r="BY11"/>
  <c r="BX13"/>
  <c r="BX15"/>
  <c r="BD18"/>
  <c r="BX7"/>
  <c r="BX10"/>
  <c r="BX17"/>
  <c r="BY19"/>
  <c r="BD12"/>
  <c r="BD14"/>
  <c r="AW7"/>
  <c r="AC17"/>
  <c r="AC19"/>
  <c r="AW9"/>
  <c r="AW17"/>
  <c r="AW19"/>
  <c r="V20"/>
  <c r="BD10" i="38"/>
  <c r="BX12"/>
  <c r="BD14"/>
  <c r="BD20"/>
  <c r="AC5"/>
  <c r="AW5"/>
  <c r="AX8"/>
  <c r="AX18"/>
  <c r="AX12"/>
  <c r="AX14"/>
  <c r="AX16"/>
  <c r="BX10" i="37"/>
  <c r="BX13"/>
  <c r="AX12"/>
  <c r="AW14"/>
  <c r="AW6"/>
  <c r="AC7"/>
  <c r="AX10"/>
  <c r="AW18"/>
  <c r="AW7"/>
  <c r="BX5" i="36"/>
  <c r="W5"/>
  <c r="U11" i="37"/>
  <c r="V11" s="1"/>
  <c r="B14"/>
  <c r="U14" s="1"/>
  <c r="W14" s="1"/>
  <c r="U22" i="38"/>
  <c r="V7"/>
  <c r="B24" i="61"/>
  <c r="A28" s="1"/>
  <c r="E98" i="48" s="1"/>
  <c r="S98" s="1"/>
  <c r="V22" i="61"/>
  <c r="B25" s="1"/>
  <c r="A29" s="1"/>
  <c r="AC25"/>
  <c r="AB29" s="1"/>
  <c r="BD25"/>
  <c r="BC29" s="1"/>
  <c r="B24" i="60"/>
  <c r="A28" s="1"/>
  <c r="E95" i="48" s="1"/>
  <c r="S95" s="1"/>
  <c r="V22" i="60"/>
  <c r="B25" s="1"/>
  <c r="A29" s="1"/>
  <c r="AC25"/>
  <c r="AB29" s="1"/>
  <c r="BD25"/>
  <c r="BC29" s="1"/>
  <c r="B24" i="59"/>
  <c r="A28" s="1"/>
  <c r="E89" i="48" s="1"/>
  <c r="S89" s="1"/>
  <c r="V22" i="59"/>
  <c r="B25" s="1"/>
  <c r="A29" s="1"/>
  <c r="BD25"/>
  <c r="BC29" s="1"/>
  <c r="B24" i="58"/>
  <c r="A28" s="1"/>
  <c r="E86" i="48" s="1"/>
  <c r="S86" s="1"/>
  <c r="V22" i="58"/>
  <c r="B25" s="1"/>
  <c r="A29" s="1"/>
  <c r="AC25"/>
  <c r="AB29" s="1"/>
  <c r="BD25"/>
  <c r="BC29" s="1"/>
  <c r="B24" i="57"/>
  <c r="A28" s="1"/>
  <c r="E92" i="48" s="1"/>
  <c r="S92" s="1"/>
  <c r="V22" i="57"/>
  <c r="B25" s="1"/>
  <c r="A29" s="1"/>
  <c r="AC25"/>
  <c r="AB29" s="1"/>
  <c r="B24" i="56"/>
  <c r="A28" s="1"/>
  <c r="E77" i="48" s="1"/>
  <c r="S77" s="1"/>
  <c r="V22" i="56"/>
  <c r="B25" s="1"/>
  <c r="A29" s="1"/>
  <c r="AC25"/>
  <c r="AB29" s="1"/>
  <c r="BD25"/>
  <c r="BC29" s="1"/>
  <c r="BD25" i="55"/>
  <c r="BC29" s="1"/>
  <c r="B25"/>
  <c r="A29" s="1"/>
  <c r="AC25"/>
  <c r="AB29" s="1"/>
  <c r="B24" i="54"/>
  <c r="A28" s="1"/>
  <c r="E71" i="48" s="1"/>
  <c r="V22" i="54"/>
  <c r="B25" s="1"/>
  <c r="A29" s="1"/>
  <c r="AC25"/>
  <c r="AB29" s="1"/>
  <c r="BD25"/>
  <c r="BC29" s="1"/>
  <c r="BD25" i="53"/>
  <c r="BC29" s="1"/>
  <c r="B25"/>
  <c r="A29" s="1"/>
  <c r="AC25"/>
  <c r="AB29" s="1"/>
  <c r="AC25" i="52"/>
  <c r="AB29" s="1"/>
  <c r="V22"/>
  <c r="BD25"/>
  <c r="BC29" s="1"/>
  <c r="AC14" i="46"/>
  <c r="AD10"/>
  <c r="AD17"/>
  <c r="BE13"/>
  <c r="BW13" s="1"/>
  <c r="BE9"/>
  <c r="BW9" s="1"/>
  <c r="AV22"/>
  <c r="C11"/>
  <c r="C20"/>
  <c r="C19"/>
  <c r="C18"/>
  <c r="C17"/>
  <c r="B13"/>
  <c r="U22"/>
  <c r="V22" s="1"/>
  <c r="C9"/>
  <c r="BD12" i="45"/>
  <c r="BD18"/>
  <c r="BD20"/>
  <c r="BD14"/>
  <c r="BW22"/>
  <c r="BD16"/>
  <c r="BD10"/>
  <c r="AC15"/>
  <c r="AC17"/>
  <c r="AC13"/>
  <c r="AC11"/>
  <c r="AV22"/>
  <c r="AW22" s="1"/>
  <c r="B12"/>
  <c r="V10"/>
  <c r="V11"/>
  <c r="V12"/>
  <c r="V13"/>
  <c r="V14"/>
  <c r="V15"/>
  <c r="V16"/>
  <c r="W17"/>
  <c r="B18"/>
  <c r="B20"/>
  <c r="B14"/>
  <c r="B16"/>
  <c r="B10"/>
  <c r="U22"/>
  <c r="V22" s="1"/>
  <c r="BE9" i="44"/>
  <c r="BE18"/>
  <c r="BD19"/>
  <c r="BE20"/>
  <c r="BE17"/>
  <c r="BE16"/>
  <c r="BE15"/>
  <c r="BE14"/>
  <c r="BE13"/>
  <c r="BE12"/>
  <c r="BE10"/>
  <c r="BW22"/>
  <c r="BX22" s="1"/>
  <c r="BE11"/>
  <c r="AD18"/>
  <c r="AD19"/>
  <c r="AC20"/>
  <c r="AD13"/>
  <c r="AD14"/>
  <c r="AC12"/>
  <c r="AD15"/>
  <c r="AD16"/>
  <c r="AD17"/>
  <c r="AD11"/>
  <c r="AD10"/>
  <c r="AV22"/>
  <c r="AW22" s="1"/>
  <c r="AD9"/>
  <c r="C14"/>
  <c r="C13"/>
  <c r="C12"/>
  <c r="C11"/>
  <c r="C18"/>
  <c r="C19"/>
  <c r="C20"/>
  <c r="C9"/>
  <c r="C17"/>
  <c r="C15"/>
  <c r="C16"/>
  <c r="U22"/>
  <c r="V22" s="1"/>
  <c r="C10"/>
  <c r="BE20" i="43"/>
  <c r="BE18"/>
  <c r="BE14"/>
  <c r="BE12"/>
  <c r="BE16"/>
  <c r="BW22"/>
  <c r="BX22" s="1"/>
  <c r="BD10"/>
  <c r="AD9"/>
  <c r="AD17"/>
  <c r="AD19"/>
  <c r="AD15"/>
  <c r="AD13"/>
  <c r="AD11"/>
  <c r="AV22"/>
  <c r="AW22" s="1"/>
  <c r="V16"/>
  <c r="C14"/>
  <c r="W18"/>
  <c r="W14"/>
  <c r="W12"/>
  <c r="W10"/>
  <c r="C20"/>
  <c r="C18"/>
  <c r="C12"/>
  <c r="C16"/>
  <c r="B10"/>
  <c r="U22"/>
  <c r="V22" s="1"/>
  <c r="BD18" i="42"/>
  <c r="BD14"/>
  <c r="BD20"/>
  <c r="BD16"/>
  <c r="BD12"/>
  <c r="BD10"/>
  <c r="BW22"/>
  <c r="BX22" s="1"/>
  <c r="AC9"/>
  <c r="AV9" s="1"/>
  <c r="AC7"/>
  <c r="AV7" s="1"/>
  <c r="AC19"/>
  <c r="AV19" s="1"/>
  <c r="AC17"/>
  <c r="AV17" s="1"/>
  <c r="AC15"/>
  <c r="AV15" s="1"/>
  <c r="AC13"/>
  <c r="AV13" s="1"/>
  <c r="AC11"/>
  <c r="AV11" s="1"/>
  <c r="AV22"/>
  <c r="AW22" s="1"/>
  <c r="B12"/>
  <c r="B16"/>
  <c r="U22"/>
  <c r="BD18" i="41"/>
  <c r="BD10"/>
  <c r="BD16"/>
  <c r="BD14"/>
  <c r="BD12"/>
  <c r="BD20"/>
  <c r="BW22"/>
  <c r="BX22" s="1"/>
  <c r="BD20" i="37"/>
  <c r="BD12"/>
  <c r="BD18"/>
  <c r="BD16"/>
  <c r="BD6"/>
  <c r="BW22"/>
  <c r="B18"/>
  <c r="U18" s="1"/>
  <c r="W18" s="1"/>
  <c r="U22"/>
  <c r="V22" s="1"/>
  <c r="AC9" i="41"/>
  <c r="AC7"/>
  <c r="AC11"/>
  <c r="AC19"/>
  <c r="AC17"/>
  <c r="AC15"/>
  <c r="AC13"/>
  <c r="AV22"/>
  <c r="AW22" s="1"/>
  <c r="B20"/>
  <c r="B10"/>
  <c r="B18"/>
  <c r="B16"/>
  <c r="B14"/>
  <c r="B12"/>
  <c r="U22"/>
  <c r="V22" s="1"/>
  <c r="B6" i="40"/>
  <c r="B20"/>
  <c r="C8"/>
  <c r="B10"/>
  <c r="C12"/>
  <c r="B14"/>
  <c r="C16"/>
  <c r="B18"/>
  <c r="U22"/>
  <c r="V22" s="1"/>
  <c r="BD6"/>
  <c r="BX6"/>
  <c r="BD8"/>
  <c r="BX8"/>
  <c r="BD10"/>
  <c r="BX10"/>
  <c r="BD12"/>
  <c r="BX12"/>
  <c r="BD14"/>
  <c r="BX14"/>
  <c r="BD16"/>
  <c r="BX16"/>
  <c r="BD18"/>
  <c r="BX18"/>
  <c r="BY20"/>
  <c r="AC5"/>
  <c r="AW5"/>
  <c r="AC7"/>
  <c r="AW7"/>
  <c r="AC9"/>
  <c r="AW9"/>
  <c r="AC11"/>
  <c r="AW11"/>
  <c r="AC13"/>
  <c r="AW13"/>
  <c r="AC15"/>
  <c r="AW15"/>
  <c r="AC17"/>
  <c r="AW17"/>
  <c r="AC19"/>
  <c r="AW19"/>
  <c r="BD10" i="39"/>
  <c r="BX12"/>
  <c r="BX16"/>
  <c r="BY9"/>
  <c r="BD6"/>
  <c r="BX8"/>
  <c r="BX14"/>
  <c r="BX18"/>
  <c r="BD20"/>
  <c r="BW22"/>
  <c r="AX12"/>
  <c r="AX14"/>
  <c r="AX16"/>
  <c r="AX18"/>
  <c r="AW20"/>
  <c r="AX6"/>
  <c r="AX8"/>
  <c r="AX10"/>
  <c r="AC5"/>
  <c r="AC7"/>
  <c r="AC9"/>
  <c r="AC11"/>
  <c r="AV22"/>
  <c r="AW22" s="1"/>
  <c r="AC25" s="1"/>
  <c r="AB29" s="1"/>
  <c r="V5"/>
  <c r="V7"/>
  <c r="V9"/>
  <c r="V11"/>
  <c r="V13"/>
  <c r="V15"/>
  <c r="V17"/>
  <c r="V19"/>
  <c r="B8"/>
  <c r="B12"/>
  <c r="B14"/>
  <c r="B16"/>
  <c r="B18"/>
  <c r="B20"/>
  <c r="U22"/>
  <c r="B6"/>
  <c r="B10"/>
  <c r="V6"/>
  <c r="V8"/>
  <c r="V10"/>
  <c r="V12"/>
  <c r="V14"/>
  <c r="V16"/>
  <c r="V18"/>
  <c r="BD24" i="47"/>
  <c r="BC28" s="1"/>
  <c r="E49" i="48" s="1"/>
  <c r="S49" s="1"/>
  <c r="AC24" i="47"/>
  <c r="AB28" s="1"/>
  <c r="E48" i="48" s="1"/>
  <c r="S48" s="1"/>
  <c r="B24" i="47"/>
  <c r="A28" s="1"/>
  <c r="E47" i="48" s="1"/>
  <c r="S47" s="1"/>
  <c r="BD8" i="38"/>
  <c r="BX10"/>
  <c r="BY11"/>
  <c r="BD16"/>
  <c r="BX18"/>
  <c r="BY19"/>
  <c r="BX20"/>
  <c r="BX8"/>
  <c r="BY9"/>
  <c r="BX16"/>
  <c r="BY17"/>
  <c r="BX14"/>
  <c r="AX20"/>
  <c r="AX6"/>
  <c r="AC7"/>
  <c r="AC9"/>
  <c r="AC11"/>
  <c r="AC13"/>
  <c r="AC15"/>
  <c r="AC17"/>
  <c r="AC19"/>
  <c r="AW7"/>
  <c r="AW9"/>
  <c r="AW11"/>
  <c r="AW13"/>
  <c r="AW15"/>
  <c r="AW17"/>
  <c r="AW19"/>
  <c r="B6"/>
  <c r="B8"/>
  <c r="V6"/>
  <c r="V8"/>
  <c r="W9"/>
  <c r="V10"/>
  <c r="W11"/>
  <c r="V12"/>
  <c r="W13"/>
  <c r="V14"/>
  <c r="W15"/>
  <c r="V16"/>
  <c r="W17"/>
  <c r="V18"/>
  <c r="W19"/>
  <c r="V20"/>
  <c r="B10"/>
  <c r="B12"/>
  <c r="B14"/>
  <c r="B16"/>
  <c r="B18"/>
  <c r="B20"/>
  <c r="BX11" i="37"/>
  <c r="BX12"/>
  <c r="BX15"/>
  <c r="BX18"/>
  <c r="BX20"/>
  <c r="BX6"/>
  <c r="BD8"/>
  <c r="BD10"/>
  <c r="BD14"/>
  <c r="BX16"/>
  <c r="BX17"/>
  <c r="AW8"/>
  <c r="AW11"/>
  <c r="AW15"/>
  <c r="AW17"/>
  <c r="AC19"/>
  <c r="AW20"/>
  <c r="AW19"/>
  <c r="AC5"/>
  <c r="AC13"/>
  <c r="AW5"/>
  <c r="AC11"/>
  <c r="AW13"/>
  <c r="AC15"/>
  <c r="AC17"/>
  <c r="B8"/>
  <c r="U8" s="1"/>
  <c r="B10"/>
  <c r="U10" s="1"/>
  <c r="B12"/>
  <c r="U12" s="1"/>
  <c r="B16"/>
  <c r="U16" s="1"/>
  <c r="V18"/>
  <c r="B6"/>
  <c r="U6" s="1"/>
  <c r="W5"/>
  <c r="V14"/>
  <c r="B20"/>
  <c r="U20" s="1"/>
  <c r="BE5" i="36"/>
  <c r="BE7"/>
  <c r="BX7"/>
  <c r="BD9"/>
  <c r="BX9"/>
  <c r="BD11"/>
  <c r="BX11"/>
  <c r="BD13"/>
  <c r="BX13"/>
  <c r="BD15"/>
  <c r="BX15"/>
  <c r="BD17"/>
  <c r="BX17"/>
  <c r="BD19"/>
  <c r="BX19"/>
  <c r="BW22"/>
  <c r="AD8"/>
  <c r="AX8"/>
  <c r="AD10"/>
  <c r="AX10"/>
  <c r="AD12"/>
  <c r="AX12"/>
  <c r="AD14"/>
  <c r="AX14"/>
  <c r="AD16"/>
  <c r="AX16"/>
  <c r="AD18"/>
  <c r="AX18"/>
  <c r="AD20"/>
  <c r="AX20"/>
  <c r="C5"/>
  <c r="C7"/>
  <c r="U7" s="1"/>
  <c r="C9"/>
  <c r="U9" s="1"/>
  <c r="C11"/>
  <c r="U11" s="1"/>
  <c r="C13"/>
  <c r="U13" s="1"/>
  <c r="C15"/>
  <c r="U15" s="1"/>
  <c r="C17"/>
  <c r="U17" s="1"/>
  <c r="C19"/>
  <c r="U19" s="1"/>
  <c r="BD25" i="47"/>
  <c r="BC29" s="1"/>
  <c r="B25"/>
  <c r="A29" s="1"/>
  <c r="AC25"/>
  <c r="AB29" s="1"/>
  <c r="AW22" i="46"/>
  <c r="AD5"/>
  <c r="AX5"/>
  <c r="C6"/>
  <c r="W6"/>
  <c r="BE6"/>
  <c r="BV22" s="1"/>
  <c r="BW22" s="1"/>
  <c r="BX22" s="1"/>
  <c r="AD7"/>
  <c r="AX7"/>
  <c r="C8"/>
  <c r="W8"/>
  <c r="BE8"/>
  <c r="BW8" s="1"/>
  <c r="AD9"/>
  <c r="AX9"/>
  <c r="C10"/>
  <c r="W10"/>
  <c r="BE10"/>
  <c r="BW10" s="1"/>
  <c r="AD11"/>
  <c r="AX11"/>
  <c r="C12"/>
  <c r="W12"/>
  <c r="BE12"/>
  <c r="BW12" s="1"/>
  <c r="BX12" s="1"/>
  <c r="AD13"/>
  <c r="AX13"/>
  <c r="C14"/>
  <c r="W14"/>
  <c r="BE14"/>
  <c r="BW14" s="1"/>
  <c r="BX14" s="1"/>
  <c r="AD15"/>
  <c r="AX15"/>
  <c r="C16"/>
  <c r="W16"/>
  <c r="AX17"/>
  <c r="W18"/>
  <c r="AX19"/>
  <c r="W20"/>
  <c r="BX22" i="45"/>
  <c r="C5"/>
  <c r="BE5"/>
  <c r="AD6"/>
  <c r="C7"/>
  <c r="BE7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C6" i="44"/>
  <c r="W6"/>
  <c r="AX7"/>
  <c r="C8"/>
  <c r="W8"/>
  <c r="BE8"/>
  <c r="BY8"/>
  <c r="AX9"/>
  <c r="W10"/>
  <c r="BY10"/>
  <c r="AX11"/>
  <c r="W12"/>
  <c r="BY12"/>
  <c r="AX13"/>
  <c r="W14"/>
  <c r="BY14"/>
  <c r="AX15"/>
  <c r="W16"/>
  <c r="BY16"/>
  <c r="AX17"/>
  <c r="W18"/>
  <c r="BY18"/>
  <c r="AX19"/>
  <c r="W20"/>
  <c r="BY20"/>
  <c r="AD5"/>
  <c r="AX5"/>
  <c r="BE6"/>
  <c r="BY6"/>
  <c r="AD7"/>
  <c r="BE5" i="43"/>
  <c r="BY5"/>
  <c r="AX6"/>
  <c r="C7"/>
  <c r="W7"/>
  <c r="BE7"/>
  <c r="BY7"/>
  <c r="AD8"/>
  <c r="AX8"/>
  <c r="C9"/>
  <c r="W9"/>
  <c r="BE9"/>
  <c r="BY9"/>
  <c r="AD10"/>
  <c r="AX10"/>
  <c r="C11"/>
  <c r="W11"/>
  <c r="BE11"/>
  <c r="BY11"/>
  <c r="AD12"/>
  <c r="AX12"/>
  <c r="C13"/>
  <c r="W13"/>
  <c r="BE13"/>
  <c r="BY13"/>
  <c r="AD14"/>
  <c r="AX14"/>
  <c r="C15"/>
  <c r="W15"/>
  <c r="BE15"/>
  <c r="BY15"/>
  <c r="AD16"/>
  <c r="AX16"/>
  <c r="C17"/>
  <c r="W17"/>
  <c r="BE17"/>
  <c r="BY17"/>
  <c r="AD18"/>
  <c r="AX18"/>
  <c r="C19"/>
  <c r="W19"/>
  <c r="BE19"/>
  <c r="BY19"/>
  <c r="AD20"/>
  <c r="AX20"/>
  <c r="C5"/>
  <c r="W5"/>
  <c r="AD6"/>
  <c r="BY20"/>
  <c r="V22" i="42"/>
  <c r="AD6"/>
  <c r="AV6" s="1"/>
  <c r="C7"/>
  <c r="BE7"/>
  <c r="AD8"/>
  <c r="AV8" s="1"/>
  <c r="C9"/>
  <c r="BE9"/>
  <c r="AD10"/>
  <c r="AV10" s="1"/>
  <c r="C11"/>
  <c r="BE11"/>
  <c r="AD12"/>
  <c r="AV12" s="1"/>
  <c r="C13"/>
  <c r="BE13"/>
  <c r="AD14"/>
  <c r="AV14" s="1"/>
  <c r="C15"/>
  <c r="BE15"/>
  <c r="AD16"/>
  <c r="AV16" s="1"/>
  <c r="C17"/>
  <c r="BE17"/>
  <c r="AD18"/>
  <c r="AV18" s="1"/>
  <c r="C19"/>
  <c r="BE19"/>
  <c r="AD20"/>
  <c r="AV20" s="1"/>
  <c r="B5"/>
  <c r="BD5"/>
  <c r="C5" i="41"/>
  <c r="BE5"/>
  <c r="C7"/>
  <c r="BE7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AD6"/>
  <c r="AW22" i="40"/>
  <c r="BX22"/>
  <c r="C5"/>
  <c r="W5"/>
  <c r="BE5"/>
  <c r="BY5"/>
  <c r="AD6"/>
  <c r="AX6"/>
  <c r="C7"/>
  <c r="W7"/>
  <c r="BE7"/>
  <c r="BY7"/>
  <c r="AD8"/>
  <c r="AX8"/>
  <c r="C9"/>
  <c r="W9"/>
  <c r="BE9"/>
  <c r="BY9"/>
  <c r="AD10"/>
  <c r="AX10"/>
  <c r="C11"/>
  <c r="W11"/>
  <c r="BE11"/>
  <c r="BY11"/>
  <c r="AD12"/>
  <c r="AX12"/>
  <c r="C13"/>
  <c r="W13"/>
  <c r="BE13"/>
  <c r="BY13"/>
  <c r="AD14"/>
  <c r="AX14"/>
  <c r="C15"/>
  <c r="W15"/>
  <c r="BE15"/>
  <c r="BY15"/>
  <c r="AD16"/>
  <c r="AX16"/>
  <c r="C17"/>
  <c r="W17"/>
  <c r="BE17"/>
  <c r="BY17"/>
  <c r="AD18"/>
  <c r="AX18"/>
  <c r="C19"/>
  <c r="W19"/>
  <c r="BE19"/>
  <c r="BY19"/>
  <c r="AD20"/>
  <c r="AX20"/>
  <c r="V22" i="39"/>
  <c r="BX22"/>
  <c r="AD6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B5"/>
  <c r="BD5"/>
  <c r="C7"/>
  <c r="BE7"/>
  <c r="BD24" s="1"/>
  <c r="BC28" s="1"/>
  <c r="E52" i="48" s="1"/>
  <c r="S52" s="1"/>
  <c r="V22" i="38"/>
  <c r="BX22"/>
  <c r="C5"/>
  <c r="AD6"/>
  <c r="C7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BE7"/>
  <c r="BE5"/>
  <c r="AW22" i="37"/>
  <c r="BX22"/>
  <c r="BD25" s="1"/>
  <c r="BC29" s="1"/>
  <c r="BE5"/>
  <c r="AD6"/>
  <c r="C7"/>
  <c r="U7" s="1"/>
  <c r="V7" s="1"/>
  <c r="BE7"/>
  <c r="AD8"/>
  <c r="C9"/>
  <c r="U9" s="1"/>
  <c r="V9" s="1"/>
  <c r="BE9"/>
  <c r="AD10"/>
  <c r="C11"/>
  <c r="BE11"/>
  <c r="AD12"/>
  <c r="C13"/>
  <c r="U13" s="1"/>
  <c r="V13" s="1"/>
  <c r="BE13"/>
  <c r="AD14"/>
  <c r="C15"/>
  <c r="U15" s="1"/>
  <c r="W15" s="1"/>
  <c r="BE15"/>
  <c r="AD16"/>
  <c r="C17"/>
  <c r="U17" s="1"/>
  <c r="BE17"/>
  <c r="AD18"/>
  <c r="C19"/>
  <c r="U19" s="1"/>
  <c r="W19" s="1"/>
  <c r="BE19"/>
  <c r="AD20"/>
  <c r="B5"/>
  <c r="V22" i="36"/>
  <c r="AW22"/>
  <c r="BX22"/>
  <c r="AD5"/>
  <c r="AX5"/>
  <c r="C6"/>
  <c r="U6" s="1"/>
  <c r="V6" s="1"/>
  <c r="BE6"/>
  <c r="BY6"/>
  <c r="AD7"/>
  <c r="AX7"/>
  <c r="C8"/>
  <c r="U8" s="1"/>
  <c r="BE8"/>
  <c r="BY8"/>
  <c r="AD9"/>
  <c r="AX9"/>
  <c r="C10"/>
  <c r="U10" s="1"/>
  <c r="BE10"/>
  <c r="BY10"/>
  <c r="AD11"/>
  <c r="AX11"/>
  <c r="C12"/>
  <c r="U12" s="1"/>
  <c r="BE12"/>
  <c r="BY12"/>
  <c r="AD13"/>
  <c r="AX13"/>
  <c r="C14"/>
  <c r="U14" s="1"/>
  <c r="BE14"/>
  <c r="BY14"/>
  <c r="AD15"/>
  <c r="AX15"/>
  <c r="C16"/>
  <c r="U16" s="1"/>
  <c r="BE16"/>
  <c r="BY16"/>
  <c r="AD17"/>
  <c r="AX17"/>
  <c r="C18"/>
  <c r="U18" s="1"/>
  <c r="BE18"/>
  <c r="BY18"/>
  <c r="AD19"/>
  <c r="AX19"/>
  <c r="C20"/>
  <c r="U20" s="1"/>
  <c r="BE20"/>
  <c r="BY20"/>
  <c r="BV22" i="26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D20" s="1"/>
  <c r="U20"/>
  <c r="V20" s="1"/>
  <c r="D20"/>
  <c r="B20" s="1"/>
  <c r="BW19"/>
  <c r="BY19" s="1"/>
  <c r="BF19"/>
  <c r="BE19"/>
  <c r="BD19"/>
  <c r="AV19"/>
  <c r="AW19" s="1"/>
  <c r="AE19"/>
  <c r="AC19" s="1"/>
  <c r="U19"/>
  <c r="V19" s="1"/>
  <c r="D19"/>
  <c r="B19" s="1"/>
  <c r="BW18"/>
  <c r="BX18" s="1"/>
  <c r="BF18"/>
  <c r="BD18" s="1"/>
  <c r="AV18"/>
  <c r="AW18" s="1"/>
  <c r="AE18"/>
  <c r="AC18" s="1"/>
  <c r="U18"/>
  <c r="V18" s="1"/>
  <c r="D18"/>
  <c r="B18" s="1"/>
  <c r="BW17"/>
  <c r="BX17" s="1"/>
  <c r="BF17"/>
  <c r="BD17" s="1"/>
  <c r="AV17"/>
  <c r="AW17" s="1"/>
  <c r="AE17"/>
  <c r="AC17" s="1"/>
  <c r="U17"/>
  <c r="V17" s="1"/>
  <c r="D17"/>
  <c r="B17" s="1"/>
  <c r="BW16"/>
  <c r="BX16" s="1"/>
  <c r="BF16"/>
  <c r="BD16" s="1"/>
  <c r="AV16"/>
  <c r="AW16" s="1"/>
  <c r="AE16"/>
  <c r="AC16" s="1"/>
  <c r="U16"/>
  <c r="V16" s="1"/>
  <c r="D16"/>
  <c r="B16" s="1"/>
  <c r="BY15"/>
  <c r="BX15"/>
  <c r="BW15"/>
  <c r="BF15"/>
  <c r="BE15"/>
  <c r="BD15"/>
  <c r="AV15"/>
  <c r="AW15" s="1"/>
  <c r="AE15"/>
  <c r="AC15" s="1"/>
  <c r="U15"/>
  <c r="V15" s="1"/>
  <c r="D15"/>
  <c r="B15" s="1"/>
  <c r="C15"/>
  <c r="BW14"/>
  <c r="BX14" s="1"/>
  <c r="BF14"/>
  <c r="BD14" s="1"/>
  <c r="AV14"/>
  <c r="AW14" s="1"/>
  <c r="AE14"/>
  <c r="AC14" s="1"/>
  <c r="U14"/>
  <c r="V14" s="1"/>
  <c r="D14"/>
  <c r="B14" s="1"/>
  <c r="BY13"/>
  <c r="BW13"/>
  <c r="BX13" s="1"/>
  <c r="BF13"/>
  <c r="BD13" s="1"/>
  <c r="AV13"/>
  <c r="AW13" s="1"/>
  <c r="AE13"/>
  <c r="AC13" s="1"/>
  <c r="U13"/>
  <c r="V13" s="1"/>
  <c r="D13"/>
  <c r="B13" s="1"/>
  <c r="BW12"/>
  <c r="BX12" s="1"/>
  <c r="BF12"/>
  <c r="BD12" s="1"/>
  <c r="AV12"/>
  <c r="AW12" s="1"/>
  <c r="AE12"/>
  <c r="AC12" s="1"/>
  <c r="U12"/>
  <c r="V12" s="1"/>
  <c r="D12"/>
  <c r="B12" s="1"/>
  <c r="BW11"/>
  <c r="BX11" s="1"/>
  <c r="BF11"/>
  <c r="BD11" s="1"/>
  <c r="AV11"/>
  <c r="AW11" s="1"/>
  <c r="AE11"/>
  <c r="AC11" s="1"/>
  <c r="U11"/>
  <c r="V11" s="1"/>
  <c r="D11"/>
  <c r="B11" s="1"/>
  <c r="BW10"/>
  <c r="BX10" s="1"/>
  <c r="BF10"/>
  <c r="BD10" s="1"/>
  <c r="AV10"/>
  <c r="AW10" s="1"/>
  <c r="AE10"/>
  <c r="AC10" s="1"/>
  <c r="U10"/>
  <c r="V10" s="1"/>
  <c r="D10"/>
  <c r="B10" s="1"/>
  <c r="BW9"/>
  <c r="BX9" s="1"/>
  <c r="BF9"/>
  <c r="BD9" s="1"/>
  <c r="AV9"/>
  <c r="AW9" s="1"/>
  <c r="AE9"/>
  <c r="AC9" s="1"/>
  <c r="U9"/>
  <c r="V9" s="1"/>
  <c r="D9"/>
  <c r="B9" s="1"/>
  <c r="BW8"/>
  <c r="BX8" s="1"/>
  <c r="BF8"/>
  <c r="BD8" s="1"/>
  <c r="AV8"/>
  <c r="AX8" s="1"/>
  <c r="AE8"/>
  <c r="AC8" s="1"/>
  <c r="AD8"/>
  <c r="U8"/>
  <c r="V8" s="1"/>
  <c r="D8"/>
  <c r="B8" s="1"/>
  <c r="BY7"/>
  <c r="BW7"/>
  <c r="BX7" s="1"/>
  <c r="BF7"/>
  <c r="BD7" s="1"/>
  <c r="AV7"/>
  <c r="AW7" s="1"/>
  <c r="AE7"/>
  <c r="AC7" s="1"/>
  <c r="V7"/>
  <c r="U7"/>
  <c r="W7" s="1"/>
  <c r="D7"/>
  <c r="C7" s="1"/>
  <c r="BW6"/>
  <c r="BX6" s="1"/>
  <c r="BF6"/>
  <c r="BD6" s="1"/>
  <c r="AV6"/>
  <c r="AW6" s="1"/>
  <c r="AE6"/>
  <c r="AD6" s="1"/>
  <c r="U6"/>
  <c r="V6" s="1"/>
  <c r="D6"/>
  <c r="B6" s="1"/>
  <c r="BW5"/>
  <c r="BY5" s="1"/>
  <c r="BF5"/>
  <c r="BE5"/>
  <c r="BD5"/>
  <c r="AV5"/>
  <c r="AW5" s="1"/>
  <c r="AE5"/>
  <c r="AC5" s="1"/>
  <c r="U5"/>
  <c r="W5" s="1"/>
  <c r="D5"/>
  <c r="C5" s="1"/>
  <c r="BV22" i="25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C20" s="1"/>
  <c r="D20"/>
  <c r="B20" s="1"/>
  <c r="BW19"/>
  <c r="BX19" s="1"/>
  <c r="BF19"/>
  <c r="BD19" s="1"/>
  <c r="AV19"/>
  <c r="AW19" s="1"/>
  <c r="AE19"/>
  <c r="AC19" s="1"/>
  <c r="D19"/>
  <c r="B19" s="1"/>
  <c r="BW18"/>
  <c r="BX18" s="1"/>
  <c r="BF18"/>
  <c r="BD18" s="1"/>
  <c r="AV18"/>
  <c r="AW18" s="1"/>
  <c r="AE18"/>
  <c r="AC18" s="1"/>
  <c r="D18"/>
  <c r="B18" s="1"/>
  <c r="BW17"/>
  <c r="BX17" s="1"/>
  <c r="BF17"/>
  <c r="BD17" s="1"/>
  <c r="AV17"/>
  <c r="AW17" s="1"/>
  <c r="AE17"/>
  <c r="AC17" s="1"/>
  <c r="D17"/>
  <c r="B17" s="1"/>
  <c r="BW16"/>
  <c r="BX16" s="1"/>
  <c r="BF16"/>
  <c r="BD16" s="1"/>
  <c r="AV16"/>
  <c r="AW16" s="1"/>
  <c r="AE16"/>
  <c r="AC16" s="1"/>
  <c r="D16"/>
  <c r="B16" s="1"/>
  <c r="BW15"/>
  <c r="BX15" s="1"/>
  <c r="BF15"/>
  <c r="BD15" s="1"/>
  <c r="AV15"/>
  <c r="AW15" s="1"/>
  <c r="AE15"/>
  <c r="AC15" s="1"/>
  <c r="D15"/>
  <c r="B15" s="1"/>
  <c r="BW14"/>
  <c r="BX14" s="1"/>
  <c r="BF14"/>
  <c r="BD14" s="1"/>
  <c r="AV14"/>
  <c r="AW14" s="1"/>
  <c r="AE14"/>
  <c r="AC14" s="1"/>
  <c r="D14"/>
  <c r="B14" s="1"/>
  <c r="BW13"/>
  <c r="BX13" s="1"/>
  <c r="BF13"/>
  <c r="BD13" s="1"/>
  <c r="AV13"/>
  <c r="AW13" s="1"/>
  <c r="AE13"/>
  <c r="AC13" s="1"/>
  <c r="D13"/>
  <c r="B13" s="1"/>
  <c r="BW12"/>
  <c r="BX12" s="1"/>
  <c r="BF12"/>
  <c r="BD12" s="1"/>
  <c r="AV12"/>
  <c r="AW12" s="1"/>
  <c r="AE12"/>
  <c r="AC12" s="1"/>
  <c r="D12"/>
  <c r="B12" s="1"/>
  <c r="BW11"/>
  <c r="BX11" s="1"/>
  <c r="BF11"/>
  <c r="BD11" s="1"/>
  <c r="AV11"/>
  <c r="AW11" s="1"/>
  <c r="AE11"/>
  <c r="AC11" s="1"/>
  <c r="D11"/>
  <c r="B11" s="1"/>
  <c r="BW10"/>
  <c r="BX10" s="1"/>
  <c r="BF10"/>
  <c r="BD10" s="1"/>
  <c r="AV10"/>
  <c r="AW10" s="1"/>
  <c r="AE10"/>
  <c r="AC10" s="1"/>
  <c r="D10"/>
  <c r="B10" s="1"/>
  <c r="BW9"/>
  <c r="BX9" s="1"/>
  <c r="BF9"/>
  <c r="BD9" s="1"/>
  <c r="AV9"/>
  <c r="AW9" s="1"/>
  <c r="AE9"/>
  <c r="AC9" s="1"/>
  <c r="D9"/>
  <c r="B9" s="1"/>
  <c r="BW8"/>
  <c r="BX8" s="1"/>
  <c r="BF8"/>
  <c r="BD8" s="1"/>
  <c r="AV8"/>
  <c r="AW8" s="1"/>
  <c r="AE8"/>
  <c r="AC8" s="1"/>
  <c r="D8"/>
  <c r="B8" s="1"/>
  <c r="BW7"/>
  <c r="BX7" s="1"/>
  <c r="BF7"/>
  <c r="BD7" s="1"/>
  <c r="AV7"/>
  <c r="AW7" s="1"/>
  <c r="AE7"/>
  <c r="AC7" s="1"/>
  <c r="D7"/>
  <c r="B7" s="1"/>
  <c r="BW6"/>
  <c r="BX6" s="1"/>
  <c r="BF6"/>
  <c r="BD6" s="1"/>
  <c r="AV6"/>
  <c r="AW6" s="1"/>
  <c r="AE6"/>
  <c r="AC6" s="1"/>
  <c r="D6"/>
  <c r="B6" s="1"/>
  <c r="BW5"/>
  <c r="BX5" s="1"/>
  <c r="BF5"/>
  <c r="BD5" s="1"/>
  <c r="AV5"/>
  <c r="AW5" s="1"/>
  <c r="AE5"/>
  <c r="AC5" s="1"/>
  <c r="U5"/>
  <c r="V5" s="1"/>
  <c r="D5"/>
  <c r="B5" s="1"/>
  <c r="BV22" i="24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C20" s="1"/>
  <c r="U20"/>
  <c r="V20" s="1"/>
  <c r="D20"/>
  <c r="B20" s="1"/>
  <c r="BW19"/>
  <c r="BX19" s="1"/>
  <c r="BF19"/>
  <c r="BD19" s="1"/>
  <c r="AV19"/>
  <c r="AW19" s="1"/>
  <c r="AE19"/>
  <c r="AC19" s="1"/>
  <c r="U19"/>
  <c r="W19" s="1"/>
  <c r="D19"/>
  <c r="B19" s="1"/>
  <c r="BW18"/>
  <c r="BX18" s="1"/>
  <c r="BF18"/>
  <c r="BD18" s="1"/>
  <c r="AV18"/>
  <c r="AW18" s="1"/>
  <c r="AE18"/>
  <c r="AD18" s="1"/>
  <c r="U18"/>
  <c r="V18" s="1"/>
  <c r="D18"/>
  <c r="B18" s="1"/>
  <c r="BW17"/>
  <c r="BY17" s="1"/>
  <c r="BF17"/>
  <c r="BD17" s="1"/>
  <c r="BE17"/>
  <c r="AV17"/>
  <c r="AW17" s="1"/>
  <c r="AE17"/>
  <c r="AC17" s="1"/>
  <c r="U17"/>
  <c r="W17" s="1"/>
  <c r="D17"/>
  <c r="B17" s="1"/>
  <c r="BW16"/>
  <c r="BX16" s="1"/>
  <c r="BF16"/>
  <c r="BD16" s="1"/>
  <c r="AV16"/>
  <c r="AW16" s="1"/>
  <c r="AE16"/>
  <c r="AC16" s="1"/>
  <c r="U16"/>
  <c r="V16" s="1"/>
  <c r="D16"/>
  <c r="B16" s="1"/>
  <c r="BW15"/>
  <c r="BX15" s="1"/>
  <c r="BF15"/>
  <c r="BD15" s="1"/>
  <c r="AV15"/>
  <c r="AW15" s="1"/>
  <c r="AE15"/>
  <c r="AC15" s="1"/>
  <c r="U15"/>
  <c r="W15" s="1"/>
  <c r="D15"/>
  <c r="B15" s="1"/>
  <c r="BW14"/>
  <c r="BX14" s="1"/>
  <c r="BF14"/>
  <c r="BD14" s="1"/>
  <c r="AV14"/>
  <c r="AW14" s="1"/>
  <c r="AE14"/>
  <c r="AD14" s="1"/>
  <c r="U14"/>
  <c r="V14" s="1"/>
  <c r="D14"/>
  <c r="B14" s="1"/>
  <c r="BW13"/>
  <c r="BX13" s="1"/>
  <c r="BF13"/>
  <c r="BD13" s="1"/>
  <c r="AV13"/>
  <c r="AW13" s="1"/>
  <c r="AE13"/>
  <c r="AC13" s="1"/>
  <c r="U13"/>
  <c r="V13" s="1"/>
  <c r="D13"/>
  <c r="B13" s="1"/>
  <c r="BW12"/>
  <c r="BX12" s="1"/>
  <c r="BF12"/>
  <c r="BD12" s="1"/>
  <c r="AV12"/>
  <c r="AX12" s="1"/>
  <c r="AE12"/>
  <c r="AC12" s="1"/>
  <c r="U12"/>
  <c r="V12" s="1"/>
  <c r="D12"/>
  <c r="B12" s="1"/>
  <c r="BY11"/>
  <c r="BX11"/>
  <c r="BW11"/>
  <c r="BF11"/>
  <c r="BD11" s="1"/>
  <c r="AV11"/>
  <c r="AW11" s="1"/>
  <c r="AE11"/>
  <c r="AC11" s="1"/>
  <c r="U11"/>
  <c r="V11" s="1"/>
  <c r="D11"/>
  <c r="B11" s="1"/>
  <c r="BW10"/>
  <c r="BX10" s="1"/>
  <c r="BF10"/>
  <c r="BD10" s="1"/>
  <c r="AV10"/>
  <c r="AX10" s="1"/>
  <c r="AE10"/>
  <c r="AC10" s="1"/>
  <c r="U10"/>
  <c r="V10" s="1"/>
  <c r="D10"/>
  <c r="B10" s="1"/>
  <c r="BY9"/>
  <c r="BW9"/>
  <c r="BX9" s="1"/>
  <c r="BF9"/>
  <c r="BE9"/>
  <c r="BD9"/>
  <c r="AV9"/>
  <c r="AW9" s="1"/>
  <c r="AE9"/>
  <c r="AC9" s="1"/>
  <c r="U9"/>
  <c r="V9" s="1"/>
  <c r="D9"/>
  <c r="B9" s="1"/>
  <c r="BW8"/>
  <c r="BX8" s="1"/>
  <c r="BF8"/>
  <c r="BD8" s="1"/>
  <c r="AV8"/>
  <c r="AW8" s="1"/>
  <c r="AE8"/>
  <c r="AD8" s="1"/>
  <c r="U8"/>
  <c r="V8" s="1"/>
  <c r="D8"/>
  <c r="B8" s="1"/>
  <c r="BY7"/>
  <c r="BW7"/>
  <c r="BX7" s="1"/>
  <c r="BF7"/>
  <c r="BD7" s="1"/>
  <c r="AV7"/>
  <c r="AW7" s="1"/>
  <c r="AE7"/>
  <c r="AC7" s="1"/>
  <c r="U7"/>
  <c r="V7" s="1"/>
  <c r="D7"/>
  <c r="B7" s="1"/>
  <c r="BW6"/>
  <c r="BX6" s="1"/>
  <c r="BF6"/>
  <c r="BD6" s="1"/>
  <c r="AX6"/>
  <c r="AV6"/>
  <c r="AW6" s="1"/>
  <c r="AE6"/>
  <c r="AD6" s="1"/>
  <c r="U6"/>
  <c r="V6" s="1"/>
  <c r="D6"/>
  <c r="B6" s="1"/>
  <c r="BW5"/>
  <c r="BX5" s="1"/>
  <c r="BF5"/>
  <c r="BD5" s="1"/>
  <c r="AV5"/>
  <c r="AW5" s="1"/>
  <c r="AE5"/>
  <c r="AC5" s="1"/>
  <c r="U5"/>
  <c r="V5" s="1"/>
  <c r="D5"/>
  <c r="B5" s="1"/>
  <c r="BV22" i="23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C20" s="1"/>
  <c r="U20"/>
  <c r="V20" s="1"/>
  <c r="D20"/>
  <c r="B20" s="1"/>
  <c r="BW19"/>
  <c r="BX19" s="1"/>
  <c r="BF19"/>
  <c r="BD19" s="1"/>
  <c r="AV19"/>
  <c r="AW19" s="1"/>
  <c r="AE19"/>
  <c r="AC19" s="1"/>
  <c r="U19"/>
  <c r="V19" s="1"/>
  <c r="D19"/>
  <c r="B19" s="1"/>
  <c r="BW18"/>
  <c r="BX18" s="1"/>
  <c r="BF18"/>
  <c r="BD18" s="1"/>
  <c r="AV18"/>
  <c r="AW18" s="1"/>
  <c r="AE18"/>
  <c r="AC18" s="1"/>
  <c r="U18"/>
  <c r="V18" s="1"/>
  <c r="D18"/>
  <c r="B18" s="1"/>
  <c r="BW17"/>
  <c r="BX17" s="1"/>
  <c r="BF17"/>
  <c r="BD17" s="1"/>
  <c r="AV17"/>
  <c r="AW17" s="1"/>
  <c r="AE17"/>
  <c r="AC17" s="1"/>
  <c r="U17"/>
  <c r="V17" s="1"/>
  <c r="D17"/>
  <c r="B17" s="1"/>
  <c r="BW16"/>
  <c r="BX16" s="1"/>
  <c r="BF16"/>
  <c r="BD16" s="1"/>
  <c r="AV16"/>
  <c r="AW16" s="1"/>
  <c r="AE16"/>
  <c r="AC16" s="1"/>
  <c r="U16"/>
  <c r="V16" s="1"/>
  <c r="D16"/>
  <c r="B16" s="1"/>
  <c r="BW15"/>
  <c r="BX15" s="1"/>
  <c r="BF15"/>
  <c r="BD15" s="1"/>
  <c r="AV15"/>
  <c r="AW15" s="1"/>
  <c r="AE15"/>
  <c r="AC15" s="1"/>
  <c r="U15"/>
  <c r="V15" s="1"/>
  <c r="D15"/>
  <c r="B15" s="1"/>
  <c r="BW14"/>
  <c r="BX14" s="1"/>
  <c r="BF14"/>
  <c r="BD14" s="1"/>
  <c r="AV14"/>
  <c r="AW14" s="1"/>
  <c r="AE14"/>
  <c r="AC14" s="1"/>
  <c r="U14"/>
  <c r="V14" s="1"/>
  <c r="D14"/>
  <c r="B14" s="1"/>
  <c r="BW13"/>
  <c r="BX13" s="1"/>
  <c r="BF13"/>
  <c r="BD13" s="1"/>
  <c r="AV13"/>
  <c r="AW13" s="1"/>
  <c r="AE13"/>
  <c r="AC13" s="1"/>
  <c r="U13"/>
  <c r="V13" s="1"/>
  <c r="D13"/>
  <c r="B13" s="1"/>
  <c r="BW12"/>
  <c r="BX12" s="1"/>
  <c r="BF12"/>
  <c r="BD12" s="1"/>
  <c r="AV12"/>
  <c r="AW12" s="1"/>
  <c r="AE12"/>
  <c r="AC12" s="1"/>
  <c r="U12"/>
  <c r="V12" s="1"/>
  <c r="D12"/>
  <c r="B12" s="1"/>
  <c r="BW11"/>
  <c r="BX11" s="1"/>
  <c r="BF11"/>
  <c r="BD11" s="1"/>
  <c r="AV11"/>
  <c r="AW11" s="1"/>
  <c r="AE11"/>
  <c r="AC11" s="1"/>
  <c r="U11"/>
  <c r="V11" s="1"/>
  <c r="D11"/>
  <c r="B11" s="1"/>
  <c r="BW10"/>
  <c r="BX10" s="1"/>
  <c r="BF10"/>
  <c r="BD10" s="1"/>
  <c r="AV10"/>
  <c r="AW10" s="1"/>
  <c r="AE10"/>
  <c r="AC10" s="1"/>
  <c r="U10"/>
  <c r="V10" s="1"/>
  <c r="D10"/>
  <c r="B10" s="1"/>
  <c r="BW9"/>
  <c r="BX9" s="1"/>
  <c r="BF9"/>
  <c r="BD9" s="1"/>
  <c r="AV9"/>
  <c r="AW9" s="1"/>
  <c r="AE9"/>
  <c r="AC9" s="1"/>
  <c r="U9"/>
  <c r="V9" s="1"/>
  <c r="D9"/>
  <c r="C9" s="1"/>
  <c r="BW8"/>
  <c r="BX8" s="1"/>
  <c r="BF8"/>
  <c r="BD8" s="1"/>
  <c r="AV8"/>
  <c r="AW8" s="1"/>
  <c r="AE8"/>
  <c r="AC8" s="1"/>
  <c r="U8"/>
  <c r="V8" s="1"/>
  <c r="D8"/>
  <c r="B8" s="1"/>
  <c r="BW7"/>
  <c r="BX7" s="1"/>
  <c r="BF7"/>
  <c r="BD7" s="1"/>
  <c r="AV7"/>
  <c r="AW7" s="1"/>
  <c r="AE7"/>
  <c r="AC7" s="1"/>
  <c r="U7"/>
  <c r="V7" s="1"/>
  <c r="D7"/>
  <c r="C7" s="1"/>
  <c r="BW6"/>
  <c r="BX6" s="1"/>
  <c r="BF6"/>
  <c r="BD6" s="1"/>
  <c r="AV6"/>
  <c r="AW6" s="1"/>
  <c r="AE6"/>
  <c r="AD6" s="1"/>
  <c r="U6"/>
  <c r="V6" s="1"/>
  <c r="D6"/>
  <c r="B6" s="1"/>
  <c r="BW5"/>
  <c r="BY5" s="1"/>
  <c r="BF5"/>
  <c r="BE5" s="1"/>
  <c r="AV5"/>
  <c r="AW5" s="1"/>
  <c r="AE5"/>
  <c r="AC5" s="1"/>
  <c r="U5"/>
  <c r="V5" s="1"/>
  <c r="D5"/>
  <c r="C5" s="1"/>
  <c r="BV22" i="22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X20" s="1"/>
  <c r="AE20"/>
  <c r="AD20" s="1"/>
  <c r="U20"/>
  <c r="V20" s="1"/>
  <c r="D20"/>
  <c r="B20" s="1"/>
  <c r="BW19"/>
  <c r="BX19" s="1"/>
  <c r="BF19"/>
  <c r="BD19" s="1"/>
  <c r="AV19"/>
  <c r="AW19" s="1"/>
  <c r="AE19"/>
  <c r="AC19" s="1"/>
  <c r="W19"/>
  <c r="V19"/>
  <c r="U19"/>
  <c r="D19"/>
  <c r="C19" s="1"/>
  <c r="BW18"/>
  <c r="BX18" s="1"/>
  <c r="BF18"/>
  <c r="BD18" s="1"/>
  <c r="AV18"/>
  <c r="AX18" s="1"/>
  <c r="AE18"/>
  <c r="AD18" s="1"/>
  <c r="U18"/>
  <c r="V18" s="1"/>
  <c r="D18"/>
  <c r="B18" s="1"/>
  <c r="BW17"/>
  <c r="BX17" s="1"/>
  <c r="BF17"/>
  <c r="BE17"/>
  <c r="BD17"/>
  <c r="AV17"/>
  <c r="AW17" s="1"/>
  <c r="AE17"/>
  <c r="AC17" s="1"/>
  <c r="W17"/>
  <c r="V17"/>
  <c r="U17"/>
  <c r="D17"/>
  <c r="C17" s="1"/>
  <c r="BW16"/>
  <c r="BX16" s="1"/>
  <c r="BF16"/>
  <c r="BD16" s="1"/>
  <c r="AW16"/>
  <c r="AV16"/>
  <c r="AX16" s="1"/>
  <c r="AE16"/>
  <c r="AD16" s="1"/>
  <c r="AC16"/>
  <c r="U16"/>
  <c r="V16" s="1"/>
  <c r="D16"/>
  <c r="B16" s="1"/>
  <c r="BY15"/>
  <c r="BW15"/>
  <c r="BX15" s="1"/>
  <c r="BF15"/>
  <c r="BD15" s="1"/>
  <c r="AV15"/>
  <c r="AW15" s="1"/>
  <c r="AE15"/>
  <c r="AC15" s="1"/>
  <c r="U15"/>
  <c r="V15" s="1"/>
  <c r="D15"/>
  <c r="C15" s="1"/>
  <c r="BW14"/>
  <c r="BX14" s="1"/>
  <c r="BF14"/>
  <c r="BD14" s="1"/>
  <c r="AV14"/>
  <c r="AX14" s="1"/>
  <c r="AE14"/>
  <c r="AD14" s="1"/>
  <c r="U14"/>
  <c r="V14" s="1"/>
  <c r="D14"/>
  <c r="B14" s="1"/>
  <c r="BW13"/>
  <c r="BY13" s="1"/>
  <c r="BF13"/>
  <c r="BE13" s="1"/>
  <c r="AV13"/>
  <c r="AW13" s="1"/>
  <c r="AE13"/>
  <c r="AC13" s="1"/>
  <c r="W13"/>
  <c r="V13"/>
  <c r="U13"/>
  <c r="D13"/>
  <c r="B13" s="1"/>
  <c r="BW12"/>
  <c r="BX12" s="1"/>
  <c r="BF12"/>
  <c r="BD12" s="1"/>
  <c r="AV12"/>
  <c r="AX12" s="1"/>
  <c r="AE12"/>
  <c r="AD12" s="1"/>
  <c r="U12"/>
  <c r="V12" s="1"/>
  <c r="D12"/>
  <c r="B12" s="1"/>
  <c r="BW11"/>
  <c r="BY11" s="1"/>
  <c r="BF11"/>
  <c r="BE11" s="1"/>
  <c r="AV11"/>
  <c r="AW11" s="1"/>
  <c r="AE11"/>
  <c r="AC11" s="1"/>
  <c r="U11"/>
  <c r="V11" s="1"/>
  <c r="D11"/>
  <c r="B11" s="1"/>
  <c r="BW10"/>
  <c r="BX10" s="1"/>
  <c r="BF10"/>
  <c r="BD10" s="1"/>
  <c r="AV10"/>
  <c r="AX10" s="1"/>
  <c r="AE10"/>
  <c r="AD10" s="1"/>
  <c r="U10"/>
  <c r="V10" s="1"/>
  <c r="D10"/>
  <c r="B10" s="1"/>
  <c r="BW9"/>
  <c r="BY9" s="1"/>
  <c r="BF9"/>
  <c r="BE9" s="1"/>
  <c r="AV9"/>
  <c r="AW9" s="1"/>
  <c r="AE9"/>
  <c r="AC9" s="1"/>
  <c r="W9"/>
  <c r="V9"/>
  <c r="U9"/>
  <c r="D9"/>
  <c r="C9" s="1"/>
  <c r="BW8"/>
  <c r="BX8" s="1"/>
  <c r="BF8"/>
  <c r="BD8" s="1"/>
  <c r="AV8"/>
  <c r="AW8" s="1"/>
  <c r="AE8"/>
  <c r="AC8" s="1"/>
  <c r="U8"/>
  <c r="V8" s="1"/>
  <c r="D8"/>
  <c r="B8" s="1"/>
  <c r="BW7"/>
  <c r="BX7" s="1"/>
  <c r="BF7"/>
  <c r="BD7" s="1"/>
  <c r="AV7"/>
  <c r="AW7" s="1"/>
  <c r="AE7"/>
  <c r="AC7" s="1"/>
  <c r="U7"/>
  <c r="V7" s="1"/>
  <c r="D7"/>
  <c r="C7" s="1"/>
  <c r="BW6"/>
  <c r="BX6" s="1"/>
  <c r="BF6"/>
  <c r="BD6" s="1"/>
  <c r="AV6"/>
  <c r="AX6" s="1"/>
  <c r="AE6"/>
  <c r="AD6" s="1"/>
  <c r="U6"/>
  <c r="V6" s="1"/>
  <c r="D6"/>
  <c r="B6" s="1"/>
  <c r="BW5"/>
  <c r="BY5" s="1"/>
  <c r="BF5"/>
  <c r="BE5" s="1"/>
  <c r="AV5"/>
  <c r="AW5" s="1"/>
  <c r="AE5"/>
  <c r="AC5" s="1"/>
  <c r="W5"/>
  <c r="V5"/>
  <c r="U5"/>
  <c r="D5"/>
  <c r="C5" s="1"/>
  <c r="B5"/>
  <c r="BV22" i="21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X20" s="1"/>
  <c r="AE20"/>
  <c r="AD20" s="1"/>
  <c r="U20"/>
  <c r="V20" s="1"/>
  <c r="D20"/>
  <c r="B20" s="1"/>
  <c r="BW19"/>
  <c r="BX19" s="1"/>
  <c r="BF19"/>
  <c r="BD19" s="1"/>
  <c r="AV19"/>
  <c r="AW19" s="1"/>
  <c r="AE19"/>
  <c r="AC19" s="1"/>
  <c r="U19"/>
  <c r="W19" s="1"/>
  <c r="D19"/>
  <c r="C19" s="1"/>
  <c r="BW18"/>
  <c r="BX18" s="1"/>
  <c r="BF18"/>
  <c r="BD18" s="1"/>
  <c r="AX18"/>
  <c r="AV18"/>
  <c r="AW18" s="1"/>
  <c r="AE18"/>
  <c r="AC18" s="1"/>
  <c r="U18"/>
  <c r="V18" s="1"/>
  <c r="D18"/>
  <c r="B18" s="1"/>
  <c r="BW17"/>
  <c r="BX17" s="1"/>
  <c r="BF17"/>
  <c r="BD17" s="1"/>
  <c r="AV17"/>
  <c r="AW17" s="1"/>
  <c r="AE17"/>
  <c r="AC17" s="1"/>
  <c r="U17"/>
  <c r="W17" s="1"/>
  <c r="D17"/>
  <c r="C17" s="1"/>
  <c r="BW16"/>
  <c r="BX16" s="1"/>
  <c r="BF16"/>
  <c r="BD16" s="1"/>
  <c r="AV16"/>
  <c r="AX16" s="1"/>
  <c r="AE16"/>
  <c r="AD16" s="1"/>
  <c r="U16"/>
  <c r="V16" s="1"/>
  <c r="D16"/>
  <c r="B16" s="1"/>
  <c r="BW15"/>
  <c r="BX15" s="1"/>
  <c r="BF15"/>
  <c r="BD15" s="1"/>
  <c r="AV15"/>
  <c r="AW15" s="1"/>
  <c r="AE15"/>
  <c r="AC15" s="1"/>
  <c r="U15"/>
  <c r="W15" s="1"/>
  <c r="D15"/>
  <c r="C15" s="1"/>
  <c r="BW14"/>
  <c r="BX14" s="1"/>
  <c r="BF14"/>
  <c r="BD14" s="1"/>
  <c r="AX14"/>
  <c r="AW14"/>
  <c r="AV14"/>
  <c r="AE14"/>
  <c r="AD14" s="1"/>
  <c r="U14"/>
  <c r="V14" s="1"/>
  <c r="D14"/>
  <c r="B14" s="1"/>
  <c r="BW13"/>
  <c r="BX13" s="1"/>
  <c r="BF13"/>
  <c r="BD13" s="1"/>
  <c r="AV13"/>
  <c r="AW13" s="1"/>
  <c r="AE13"/>
  <c r="AC13" s="1"/>
  <c r="U13"/>
  <c r="W13" s="1"/>
  <c r="D13"/>
  <c r="C13" s="1"/>
  <c r="BW12"/>
  <c r="BX12" s="1"/>
  <c r="BF12"/>
  <c r="BD12" s="1"/>
  <c r="AV12"/>
  <c r="AX12" s="1"/>
  <c r="AE12"/>
  <c r="AC12" s="1"/>
  <c r="U12"/>
  <c r="V12" s="1"/>
  <c r="D12"/>
  <c r="B12" s="1"/>
  <c r="BW11"/>
  <c r="BX11" s="1"/>
  <c r="BF11"/>
  <c r="BE11" s="1"/>
  <c r="AV11"/>
  <c r="AW11" s="1"/>
  <c r="AE11"/>
  <c r="AC11" s="1"/>
  <c r="U11"/>
  <c r="W11" s="1"/>
  <c r="D11"/>
  <c r="C11" s="1"/>
  <c r="BW10"/>
  <c r="BX10" s="1"/>
  <c r="BF10"/>
  <c r="BD10" s="1"/>
  <c r="AX10"/>
  <c r="AW10"/>
  <c r="AV10"/>
  <c r="AE10"/>
  <c r="AD10" s="1"/>
  <c r="U10"/>
  <c r="V10" s="1"/>
  <c r="D10"/>
  <c r="B10" s="1"/>
  <c r="BW9"/>
  <c r="BX9" s="1"/>
  <c r="BF9"/>
  <c r="BE9" s="1"/>
  <c r="AV9"/>
  <c r="AW9" s="1"/>
  <c r="AE9"/>
  <c r="AC9" s="1"/>
  <c r="U9"/>
  <c r="W9" s="1"/>
  <c r="D9"/>
  <c r="C9" s="1"/>
  <c r="BW8"/>
  <c r="BX8" s="1"/>
  <c r="BF8"/>
  <c r="BD8" s="1"/>
  <c r="AX8"/>
  <c r="AW8"/>
  <c r="AV8"/>
  <c r="AE8"/>
  <c r="AC8" s="1"/>
  <c r="U8"/>
  <c r="V8" s="1"/>
  <c r="D8"/>
  <c r="B8" s="1"/>
  <c r="BX7"/>
  <c r="BW7"/>
  <c r="BY7" s="1"/>
  <c r="BF7"/>
  <c r="BE7" s="1"/>
  <c r="BD7"/>
  <c r="AV7"/>
  <c r="AW7" s="1"/>
  <c r="AE7"/>
  <c r="AC7" s="1"/>
  <c r="U7"/>
  <c r="W7" s="1"/>
  <c r="D7"/>
  <c r="C7" s="1"/>
  <c r="BW6"/>
  <c r="BX6" s="1"/>
  <c r="BF6"/>
  <c r="BD6" s="1"/>
  <c r="AV6"/>
  <c r="AW6" s="1"/>
  <c r="AE6"/>
  <c r="AC6" s="1"/>
  <c r="U6"/>
  <c r="V6" s="1"/>
  <c r="D6"/>
  <c r="B6" s="1"/>
  <c r="BX5"/>
  <c r="BW5"/>
  <c r="BY5" s="1"/>
  <c r="BF5"/>
  <c r="BE5" s="1"/>
  <c r="BD5"/>
  <c r="AV5"/>
  <c r="AW5" s="1"/>
  <c r="AE5"/>
  <c r="AC5" s="1"/>
  <c r="U5"/>
  <c r="W5" s="1"/>
  <c r="D5"/>
  <c r="C5" s="1"/>
  <c r="BV22" i="15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X20" s="1"/>
  <c r="AE20"/>
  <c r="AD20" s="1"/>
  <c r="U20"/>
  <c r="V20" s="1"/>
  <c r="D20"/>
  <c r="B20" s="1"/>
  <c r="BW19"/>
  <c r="BY19" s="1"/>
  <c r="BF19"/>
  <c r="BE19" s="1"/>
  <c r="AV19"/>
  <c r="AW19" s="1"/>
  <c r="AE19"/>
  <c r="AC19" s="1"/>
  <c r="W19"/>
  <c r="U19"/>
  <c r="V19" s="1"/>
  <c r="D19"/>
  <c r="B19" s="1"/>
  <c r="BW18"/>
  <c r="BX18" s="1"/>
  <c r="BF18"/>
  <c r="BD18" s="1"/>
  <c r="AV18"/>
  <c r="AX18" s="1"/>
  <c r="AE18"/>
  <c r="AC18" s="1"/>
  <c r="U18"/>
  <c r="V18" s="1"/>
  <c r="D18"/>
  <c r="B18" s="1"/>
  <c r="BW17"/>
  <c r="BX17" s="1"/>
  <c r="BF17"/>
  <c r="BD17" s="1"/>
  <c r="AV17"/>
  <c r="AW17" s="1"/>
  <c r="AE17"/>
  <c r="AC17" s="1"/>
  <c r="V17"/>
  <c r="U17"/>
  <c r="W17" s="1"/>
  <c r="D17"/>
  <c r="B17" s="1"/>
  <c r="BW16"/>
  <c r="BX16" s="1"/>
  <c r="BF16"/>
  <c r="BD16" s="1"/>
  <c r="AX16"/>
  <c r="AV16"/>
  <c r="AW16" s="1"/>
  <c r="AE16"/>
  <c r="AD16" s="1"/>
  <c r="U16"/>
  <c r="V16" s="1"/>
  <c r="D16"/>
  <c r="B16" s="1"/>
  <c r="BW15"/>
  <c r="BX15" s="1"/>
  <c r="BF15"/>
  <c r="BE15" s="1"/>
  <c r="AV15"/>
  <c r="AW15" s="1"/>
  <c r="AE15"/>
  <c r="AC15" s="1"/>
  <c r="U15"/>
  <c r="V15" s="1"/>
  <c r="D15"/>
  <c r="B15" s="1"/>
  <c r="BW14"/>
  <c r="BX14" s="1"/>
  <c r="BF14"/>
  <c r="BD14" s="1"/>
  <c r="AV14"/>
  <c r="AW14" s="1"/>
  <c r="AE14"/>
  <c r="AC14" s="1"/>
  <c r="U14"/>
  <c r="V14" s="1"/>
  <c r="D14"/>
  <c r="B14" s="1"/>
  <c r="BW13"/>
  <c r="BX13" s="1"/>
  <c r="BF13"/>
  <c r="BE13" s="1"/>
  <c r="AV13"/>
  <c r="AW13" s="1"/>
  <c r="AE13"/>
  <c r="AC13" s="1"/>
  <c r="U13"/>
  <c r="W13" s="1"/>
  <c r="D13"/>
  <c r="B13" s="1"/>
  <c r="BW12"/>
  <c r="BX12" s="1"/>
  <c r="BF12"/>
  <c r="BD12" s="1"/>
  <c r="AV12"/>
  <c r="AX12" s="1"/>
  <c r="AE12"/>
  <c r="AD12" s="1"/>
  <c r="U12"/>
  <c r="V12" s="1"/>
  <c r="D12"/>
  <c r="B12" s="1"/>
  <c r="BW11"/>
  <c r="BX11" s="1"/>
  <c r="BF11"/>
  <c r="BE11" s="1"/>
  <c r="AV11"/>
  <c r="AW11" s="1"/>
  <c r="AE11"/>
  <c r="AC11" s="1"/>
  <c r="W11"/>
  <c r="V11"/>
  <c r="U11"/>
  <c r="D11"/>
  <c r="B11" s="1"/>
  <c r="BW10"/>
  <c r="BX10" s="1"/>
  <c r="BF10"/>
  <c r="BD10" s="1"/>
  <c r="AW10"/>
  <c r="AV10"/>
  <c r="AX10" s="1"/>
  <c r="AE10"/>
  <c r="AC10" s="1"/>
  <c r="U10"/>
  <c r="V10" s="1"/>
  <c r="D10"/>
  <c r="B10" s="1"/>
  <c r="BW9"/>
  <c r="BX9" s="1"/>
  <c r="BF9"/>
  <c r="BD9" s="1"/>
  <c r="AV9"/>
  <c r="AW9" s="1"/>
  <c r="AE9"/>
  <c r="AC9" s="1"/>
  <c r="U9"/>
  <c r="V9" s="1"/>
  <c r="D9"/>
  <c r="C9" s="1"/>
  <c r="BW8"/>
  <c r="BX8" s="1"/>
  <c r="BF8"/>
  <c r="BD8" s="1"/>
  <c r="AV8"/>
  <c r="AW8" s="1"/>
  <c r="AE8"/>
  <c r="AC8" s="1"/>
  <c r="U8"/>
  <c r="V8" s="1"/>
  <c r="D8"/>
  <c r="B8" s="1"/>
  <c r="BW7"/>
  <c r="BX7" s="1"/>
  <c r="BF7"/>
  <c r="BD7" s="1"/>
  <c r="AV7"/>
  <c r="AW7" s="1"/>
  <c r="AE7"/>
  <c r="AC7" s="1"/>
  <c r="W7"/>
  <c r="V7"/>
  <c r="U7"/>
  <c r="D7"/>
  <c r="C7" s="1"/>
  <c r="BW6"/>
  <c r="BX6" s="1"/>
  <c r="BF6"/>
  <c r="BD6" s="1"/>
  <c r="AW6"/>
  <c r="AV6"/>
  <c r="AX6" s="1"/>
  <c r="AE6"/>
  <c r="AD6" s="1"/>
  <c r="U6"/>
  <c r="V6" s="1"/>
  <c r="D6"/>
  <c r="B6" s="1"/>
  <c r="BW5"/>
  <c r="BX5" s="1"/>
  <c r="BF5"/>
  <c r="BD5" s="1"/>
  <c r="AV5"/>
  <c r="AW5" s="1"/>
  <c r="AE5"/>
  <c r="AC5" s="1"/>
  <c r="W5"/>
  <c r="V5"/>
  <c r="U5"/>
  <c r="D5"/>
  <c r="C5"/>
  <c r="B5"/>
  <c r="BV22" i="14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X20" s="1"/>
  <c r="AE20"/>
  <c r="AC20" s="1"/>
  <c r="D20"/>
  <c r="B20" s="1"/>
  <c r="BW19"/>
  <c r="BX19" s="1"/>
  <c r="BF19"/>
  <c r="BD19" s="1"/>
  <c r="AV19"/>
  <c r="AW19" s="1"/>
  <c r="AE19"/>
  <c r="AC19" s="1"/>
  <c r="D19"/>
  <c r="C19" s="1"/>
  <c r="BW18"/>
  <c r="BX18" s="1"/>
  <c r="BF18"/>
  <c r="BD18" s="1"/>
  <c r="AV18"/>
  <c r="AW18" s="1"/>
  <c r="AE18"/>
  <c r="AC18" s="1"/>
  <c r="D18"/>
  <c r="B18" s="1"/>
  <c r="BW17"/>
  <c r="BX17" s="1"/>
  <c r="BF17"/>
  <c r="BD17" s="1"/>
  <c r="AV17"/>
  <c r="AW17" s="1"/>
  <c r="AE17"/>
  <c r="AC17" s="1"/>
  <c r="D17"/>
  <c r="C17" s="1"/>
  <c r="BW16"/>
  <c r="BX16" s="1"/>
  <c r="BF16"/>
  <c r="BD16" s="1"/>
  <c r="AV16"/>
  <c r="AW16" s="1"/>
  <c r="AE16"/>
  <c r="AC16" s="1"/>
  <c r="D16"/>
  <c r="B16" s="1"/>
  <c r="BW15"/>
  <c r="BX15" s="1"/>
  <c r="BF15"/>
  <c r="BD15" s="1"/>
  <c r="AV15"/>
  <c r="AW15" s="1"/>
  <c r="AE15"/>
  <c r="AC15" s="1"/>
  <c r="D15"/>
  <c r="B15" s="1"/>
  <c r="BW14"/>
  <c r="BX14" s="1"/>
  <c r="BF14"/>
  <c r="BD14" s="1"/>
  <c r="AV14"/>
  <c r="AW14" s="1"/>
  <c r="AE14"/>
  <c r="AC14" s="1"/>
  <c r="D14"/>
  <c r="B14" s="1"/>
  <c r="BW13"/>
  <c r="BY13" s="1"/>
  <c r="BF13"/>
  <c r="BE13" s="1"/>
  <c r="AV13"/>
  <c r="AW13" s="1"/>
  <c r="AE13"/>
  <c r="AC13" s="1"/>
  <c r="D13"/>
  <c r="B13" s="1"/>
  <c r="BW12"/>
  <c r="BX12" s="1"/>
  <c r="BF12"/>
  <c r="BD12" s="1"/>
  <c r="AV12"/>
  <c r="AW12" s="1"/>
  <c r="AE12"/>
  <c r="AC12" s="1"/>
  <c r="D12"/>
  <c r="B12" s="1"/>
  <c r="BW11"/>
  <c r="BX11" s="1"/>
  <c r="BF11"/>
  <c r="BD11" s="1"/>
  <c r="AV11"/>
  <c r="AW11" s="1"/>
  <c r="AE11"/>
  <c r="AC11" s="1"/>
  <c r="D11"/>
  <c r="B11" s="1"/>
  <c r="BW10"/>
  <c r="BX10" s="1"/>
  <c r="BF10"/>
  <c r="BD10" s="1"/>
  <c r="AX10"/>
  <c r="AV10"/>
  <c r="AW10" s="1"/>
  <c r="AE10"/>
  <c r="AC10" s="1"/>
  <c r="D10"/>
  <c r="B10" s="1"/>
  <c r="BW9"/>
  <c r="BX9" s="1"/>
  <c r="BF9"/>
  <c r="BD9" s="1"/>
  <c r="AV9"/>
  <c r="AW9" s="1"/>
  <c r="AE9"/>
  <c r="AC9" s="1"/>
  <c r="D9"/>
  <c r="B9" s="1"/>
  <c r="BW8"/>
  <c r="BX8" s="1"/>
  <c r="BF8"/>
  <c r="BD8" s="1"/>
  <c r="AV8"/>
  <c r="AW8" s="1"/>
  <c r="AE8"/>
  <c r="AD8" s="1"/>
  <c r="D8"/>
  <c r="B8" s="1"/>
  <c r="BW7"/>
  <c r="BX7" s="1"/>
  <c r="BF7"/>
  <c r="BD7" s="1"/>
  <c r="AV7"/>
  <c r="AW7" s="1"/>
  <c r="AE7"/>
  <c r="AC7" s="1"/>
  <c r="D7"/>
  <c r="C7" s="1"/>
  <c r="BW6"/>
  <c r="BX6" s="1"/>
  <c r="BF6"/>
  <c r="BD6" s="1"/>
  <c r="AV6"/>
  <c r="AW6" s="1"/>
  <c r="AE6"/>
  <c r="AC6" s="1"/>
  <c r="D6"/>
  <c r="B6" s="1"/>
  <c r="BW5"/>
  <c r="BY5" s="1"/>
  <c r="BF5"/>
  <c r="BE5" s="1"/>
  <c r="AV5"/>
  <c r="AW5" s="1"/>
  <c r="AE5"/>
  <c r="AC5" s="1"/>
  <c r="U5"/>
  <c r="W5" s="1"/>
  <c r="D5"/>
  <c r="B5" s="1"/>
  <c r="BT22" i="1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F20"/>
  <c r="BD20" s="1"/>
  <c r="AV20"/>
  <c r="AW20" s="1"/>
  <c r="AE20"/>
  <c r="AD20" s="1"/>
  <c r="U20"/>
  <c r="V20" s="1"/>
  <c r="D20"/>
  <c r="B20" s="1"/>
  <c r="BF19"/>
  <c r="BD19" s="1"/>
  <c r="AV19"/>
  <c r="AW19" s="1"/>
  <c r="AE19"/>
  <c r="AC19" s="1"/>
  <c r="W19"/>
  <c r="V19"/>
  <c r="U19"/>
  <c r="D19"/>
  <c r="B19" s="1"/>
  <c r="BF18"/>
  <c r="BD18" s="1"/>
  <c r="AV18"/>
  <c r="AW18" s="1"/>
  <c r="AE18"/>
  <c r="AC18" s="1"/>
  <c r="U18"/>
  <c r="V18" s="1"/>
  <c r="D18"/>
  <c r="B18" s="1"/>
  <c r="BF17"/>
  <c r="BD17" s="1"/>
  <c r="AV17"/>
  <c r="AW17" s="1"/>
  <c r="AE17"/>
  <c r="AC17" s="1"/>
  <c r="U17"/>
  <c r="V17" s="1"/>
  <c r="D17"/>
  <c r="B17" s="1"/>
  <c r="BF16"/>
  <c r="BD16" s="1"/>
  <c r="AX16"/>
  <c r="AW16"/>
  <c r="AV16"/>
  <c r="AE16"/>
  <c r="AC16" s="1"/>
  <c r="U16"/>
  <c r="V16" s="1"/>
  <c r="D16"/>
  <c r="B16" s="1"/>
  <c r="BF15"/>
  <c r="BD15" s="1"/>
  <c r="AV15"/>
  <c r="AW15" s="1"/>
  <c r="AE15"/>
  <c r="AC15" s="1"/>
  <c r="U15"/>
  <c r="V15" s="1"/>
  <c r="D15"/>
  <c r="C15" s="1"/>
  <c r="BF14"/>
  <c r="BD14" s="1"/>
  <c r="AV14"/>
  <c r="AW14" s="1"/>
  <c r="AE14"/>
  <c r="AC14" s="1"/>
  <c r="U14"/>
  <c r="V14" s="1"/>
  <c r="D14"/>
  <c r="B14" s="1"/>
  <c r="BF13"/>
  <c r="BD13" s="1"/>
  <c r="AV13"/>
  <c r="AW13" s="1"/>
  <c r="AE13"/>
  <c r="AC13" s="1"/>
  <c r="U13"/>
  <c r="V13" s="1"/>
  <c r="D13"/>
  <c r="B13" s="1"/>
  <c r="BF12"/>
  <c r="BD12" s="1"/>
  <c r="AV12"/>
  <c r="AW12" s="1"/>
  <c r="AE12"/>
  <c r="AC12" s="1"/>
  <c r="U12"/>
  <c r="V12" s="1"/>
  <c r="D12"/>
  <c r="B12" s="1"/>
  <c r="BF11"/>
  <c r="BD11" s="1"/>
  <c r="AV11"/>
  <c r="AW11" s="1"/>
  <c r="AE11"/>
  <c r="AC11" s="1"/>
  <c r="W11"/>
  <c r="V11"/>
  <c r="U11"/>
  <c r="D11"/>
  <c r="B11" s="1"/>
  <c r="BF10"/>
  <c r="BD10" s="1"/>
  <c r="AV10"/>
  <c r="AX10" s="1"/>
  <c r="AE10"/>
  <c r="AC10" s="1"/>
  <c r="U10"/>
  <c r="V10" s="1"/>
  <c r="D10"/>
  <c r="B10" s="1"/>
  <c r="BF9"/>
  <c r="BD9" s="1"/>
  <c r="AV9"/>
  <c r="AW9" s="1"/>
  <c r="AE9"/>
  <c r="AC9" s="1"/>
  <c r="U9"/>
  <c r="W9" s="1"/>
  <c r="D9"/>
  <c r="B9" s="1"/>
  <c r="BF8"/>
  <c r="BD8" s="1"/>
  <c r="AV8"/>
  <c r="AW8" s="1"/>
  <c r="AE8"/>
  <c r="AC8" s="1"/>
  <c r="U8"/>
  <c r="V8" s="1"/>
  <c r="D8"/>
  <c r="B8" s="1"/>
  <c r="BF7"/>
  <c r="BE7" s="1"/>
  <c r="BD7"/>
  <c r="AV7"/>
  <c r="AW7" s="1"/>
  <c r="AE7"/>
  <c r="AC7" s="1"/>
  <c r="U7"/>
  <c r="W7" s="1"/>
  <c r="D7"/>
  <c r="B7" s="1"/>
  <c r="C7"/>
  <c r="BF6"/>
  <c r="BD6" s="1"/>
  <c r="AX6"/>
  <c r="AW6"/>
  <c r="AV6"/>
  <c r="AE6"/>
  <c r="AC6" s="1"/>
  <c r="U6"/>
  <c r="V6" s="1"/>
  <c r="D6"/>
  <c r="B6" s="1"/>
  <c r="BW5"/>
  <c r="BX5" s="1"/>
  <c r="BF5"/>
  <c r="BE5" s="1"/>
  <c r="AV5"/>
  <c r="AW5" s="1"/>
  <c r="AE5"/>
  <c r="AC5" s="1"/>
  <c r="U5"/>
  <c r="W5" s="1"/>
  <c r="D5"/>
  <c r="C5"/>
  <c r="B5"/>
  <c r="BV22" i="3"/>
  <c r="BU22"/>
  <c r="BT22"/>
  <c r="BS22"/>
  <c r="BR22"/>
  <c r="BQ22"/>
  <c r="BP22"/>
  <c r="BO22"/>
  <c r="BN22"/>
  <c r="BM22"/>
  <c r="BL22"/>
  <c r="BK22"/>
  <c r="BJ22"/>
  <c r="BI22"/>
  <c r="BH22"/>
  <c r="BG22"/>
  <c r="BW20"/>
  <c r="BX20" s="1"/>
  <c r="BF20"/>
  <c r="BD20" s="1"/>
  <c r="BW19"/>
  <c r="BX19" s="1"/>
  <c r="BF19"/>
  <c r="BE19" s="1"/>
  <c r="BW18"/>
  <c r="BX18" s="1"/>
  <c r="BF18"/>
  <c r="BD18" s="1"/>
  <c r="BW17"/>
  <c r="BY17" s="1"/>
  <c r="BF17"/>
  <c r="BE17" s="1"/>
  <c r="BW16"/>
  <c r="BX16" s="1"/>
  <c r="BF16"/>
  <c r="BD16" s="1"/>
  <c r="BW15"/>
  <c r="BY15" s="1"/>
  <c r="BF15"/>
  <c r="BE15" s="1"/>
  <c r="BW14"/>
  <c r="BX14" s="1"/>
  <c r="BF14"/>
  <c r="BD14" s="1"/>
  <c r="BW13"/>
  <c r="BY13" s="1"/>
  <c r="BF13"/>
  <c r="BE13" s="1"/>
  <c r="BW12"/>
  <c r="BX12" s="1"/>
  <c r="BF12"/>
  <c r="BD12" s="1"/>
  <c r="BW11"/>
  <c r="BY11" s="1"/>
  <c r="BF11"/>
  <c r="BE11" s="1"/>
  <c r="BW10"/>
  <c r="BX10" s="1"/>
  <c r="BF10"/>
  <c r="BD10" s="1"/>
  <c r="BW9"/>
  <c r="BY9" s="1"/>
  <c r="BF9"/>
  <c r="BE9" s="1"/>
  <c r="BW8"/>
  <c r="BX8" s="1"/>
  <c r="BF8"/>
  <c r="BD8" s="1"/>
  <c r="BW7"/>
  <c r="BY7" s="1"/>
  <c r="BF7"/>
  <c r="BE7" s="1"/>
  <c r="BY6"/>
  <c r="BW6"/>
  <c r="BX6" s="1"/>
  <c r="BF6"/>
  <c r="BD6" s="1"/>
  <c r="BW5"/>
  <c r="BY5" s="1"/>
  <c r="BF5"/>
  <c r="BE5" s="1"/>
  <c r="AU22"/>
  <c r="AT22"/>
  <c r="AS22"/>
  <c r="AR22"/>
  <c r="AQ22"/>
  <c r="AP22"/>
  <c r="AO22"/>
  <c r="AN22"/>
  <c r="AM22"/>
  <c r="AL22"/>
  <c r="AK22"/>
  <c r="AJ22"/>
  <c r="AI22"/>
  <c r="AH22"/>
  <c r="AG22"/>
  <c r="AF22"/>
  <c r="AV20"/>
  <c r="AW20" s="1"/>
  <c r="AE20"/>
  <c r="AC20" s="1"/>
  <c r="AV19"/>
  <c r="AW19" s="1"/>
  <c r="AE19"/>
  <c r="AD19" s="1"/>
  <c r="AC19"/>
  <c r="AV18"/>
  <c r="AW18" s="1"/>
  <c r="AE18"/>
  <c r="AC18" s="1"/>
  <c r="AV17"/>
  <c r="AW17" s="1"/>
  <c r="AE17"/>
  <c r="AD17" s="1"/>
  <c r="AV16"/>
  <c r="AW16" s="1"/>
  <c r="AE16"/>
  <c r="AC16" s="1"/>
  <c r="AV15"/>
  <c r="AW15" s="1"/>
  <c r="AE15"/>
  <c r="AC15" s="1"/>
  <c r="AV14"/>
  <c r="AW14" s="1"/>
  <c r="AE14"/>
  <c r="AC14" s="1"/>
  <c r="AV13"/>
  <c r="AW13" s="1"/>
  <c r="AE13"/>
  <c r="AC13" s="1"/>
  <c r="AV12"/>
  <c r="AW12" s="1"/>
  <c r="AE12"/>
  <c r="AC12" s="1"/>
  <c r="AV11"/>
  <c r="AX11" s="1"/>
  <c r="AE11"/>
  <c r="AC11" s="1"/>
  <c r="AV10"/>
  <c r="AW10" s="1"/>
  <c r="AE10"/>
  <c r="AC10" s="1"/>
  <c r="AV9"/>
  <c r="AX9" s="1"/>
  <c r="AE9"/>
  <c r="AD9" s="1"/>
  <c r="AV8"/>
  <c r="AW8" s="1"/>
  <c r="AE8"/>
  <c r="AC8" s="1"/>
  <c r="AV7"/>
  <c r="AW7" s="1"/>
  <c r="AE7"/>
  <c r="AC7" s="1"/>
  <c r="AV6"/>
  <c r="AW6" s="1"/>
  <c r="AE6"/>
  <c r="AC6" s="1"/>
  <c r="AV5"/>
  <c r="AW5" s="1"/>
  <c r="AE5"/>
  <c r="AC5" s="1"/>
  <c r="T22"/>
  <c r="S22"/>
  <c r="R22"/>
  <c r="Q22"/>
  <c r="P22"/>
  <c r="O22"/>
  <c r="N22"/>
  <c r="M22"/>
  <c r="L22"/>
  <c r="K22"/>
  <c r="J22"/>
  <c r="I22"/>
  <c r="H22"/>
  <c r="G22"/>
  <c r="F22"/>
  <c r="E22"/>
  <c r="D20"/>
  <c r="B20" s="1"/>
  <c r="D19"/>
  <c r="B19" s="1"/>
  <c r="D18"/>
  <c r="B18" s="1"/>
  <c r="D17"/>
  <c r="B17" s="1"/>
  <c r="D16"/>
  <c r="B16" s="1"/>
  <c r="D15"/>
  <c r="B15" s="1"/>
  <c r="D14"/>
  <c r="B14" s="1"/>
  <c r="D13"/>
  <c r="B13" s="1"/>
  <c r="D12"/>
  <c r="B12" s="1"/>
  <c r="D11"/>
  <c r="C11" s="1"/>
  <c r="D10"/>
  <c r="B10" s="1"/>
  <c r="D9"/>
  <c r="C9" s="1"/>
  <c r="D8"/>
  <c r="B8" s="1"/>
  <c r="D7"/>
  <c r="C7" s="1"/>
  <c r="D6"/>
  <c r="B6" s="1"/>
  <c r="U5"/>
  <c r="W5" s="1"/>
  <c r="D5"/>
  <c r="C5" s="1"/>
  <c r="BD7" l="1"/>
  <c r="AC25" i="38"/>
  <c r="AB29" s="1"/>
  <c r="BW22" i="23"/>
  <c r="U22" i="3"/>
  <c r="BX10" i="46"/>
  <c r="BY10"/>
  <c r="BX18"/>
  <c r="BY18"/>
  <c r="BY13"/>
  <c r="BX13"/>
  <c r="BX16"/>
  <c r="BY16"/>
  <c r="BX8"/>
  <c r="BY8"/>
  <c r="BY9"/>
  <c r="BX9"/>
  <c r="BX20"/>
  <c r="BY20"/>
  <c r="BX17"/>
  <c r="BY17"/>
  <c r="BY14"/>
  <c r="BW6"/>
  <c r="BX11"/>
  <c r="BY11"/>
  <c r="BY12"/>
  <c r="BX15"/>
  <c r="BY15"/>
  <c r="BX5"/>
  <c r="BY5"/>
  <c r="BV22" i="57"/>
  <c r="BW22" s="1"/>
  <c r="BX22" s="1"/>
  <c r="BW5"/>
  <c r="V17" i="52"/>
  <c r="B24" s="1"/>
  <c r="A28" s="1"/>
  <c r="E80" i="48" s="1"/>
  <c r="S80" s="1"/>
  <c r="W17" i="52"/>
  <c r="V19"/>
  <c r="W19"/>
  <c r="B25" s="1"/>
  <c r="A29" s="1"/>
  <c r="AW20" i="42"/>
  <c r="AX20"/>
  <c r="AW10"/>
  <c r="AX10"/>
  <c r="AW14"/>
  <c r="AX14"/>
  <c r="AW6"/>
  <c r="AX6"/>
  <c r="AW12"/>
  <c r="AX12"/>
  <c r="AX11"/>
  <c r="AW11"/>
  <c r="AX19"/>
  <c r="AW19"/>
  <c r="AX5"/>
  <c r="AW5"/>
  <c r="AX18"/>
  <c r="AW18"/>
  <c r="AX17"/>
  <c r="AW17"/>
  <c r="AW16"/>
  <c r="AX16"/>
  <c r="AW8"/>
  <c r="AX8"/>
  <c r="AX15"/>
  <c r="AW15"/>
  <c r="AX9"/>
  <c r="AW9"/>
  <c r="AX13"/>
  <c r="AW13"/>
  <c r="AX7"/>
  <c r="AW7"/>
  <c r="V14" i="36"/>
  <c r="W14"/>
  <c r="V16"/>
  <c r="W16"/>
  <c r="V8"/>
  <c r="W8"/>
  <c r="V13"/>
  <c r="W13"/>
  <c r="V15"/>
  <c r="W15"/>
  <c r="V18"/>
  <c r="W18"/>
  <c r="V10"/>
  <c r="W10"/>
  <c r="V20"/>
  <c r="B24" s="1"/>
  <c r="A28" s="1"/>
  <c r="E38" i="48" s="1"/>
  <c r="S38" s="1"/>
  <c r="W20" i="36"/>
  <c r="V12"/>
  <c r="W12"/>
  <c r="V17"/>
  <c r="W17"/>
  <c r="V9"/>
  <c r="W9"/>
  <c r="V19"/>
  <c r="W19"/>
  <c r="V11"/>
  <c r="W11"/>
  <c r="V7"/>
  <c r="W7"/>
  <c r="W6"/>
  <c r="BX5" i="26"/>
  <c r="BY11"/>
  <c r="BY9"/>
  <c r="BY17"/>
  <c r="AW8"/>
  <c r="AC20"/>
  <c r="AX6"/>
  <c r="AD16"/>
  <c r="AD18"/>
  <c r="AX18"/>
  <c r="AX16"/>
  <c r="C17"/>
  <c r="W9"/>
  <c r="B5"/>
  <c r="V5"/>
  <c r="B7"/>
  <c r="C19"/>
  <c r="BE15" i="24"/>
  <c r="BY15"/>
  <c r="BE7"/>
  <c r="BX17"/>
  <c r="BE11"/>
  <c r="AX8"/>
  <c r="AW12"/>
  <c r="AC18"/>
  <c r="V19"/>
  <c r="V15"/>
  <c r="V17"/>
  <c r="BD5" i="23"/>
  <c r="BX5"/>
  <c r="AX6"/>
  <c r="W5"/>
  <c r="W7"/>
  <c r="BE19" i="22"/>
  <c r="BE7"/>
  <c r="BY7"/>
  <c r="BY19"/>
  <c r="BE15"/>
  <c r="W7"/>
  <c r="W11"/>
  <c r="W15"/>
  <c r="BY9" i="21"/>
  <c r="AW12"/>
  <c r="AW16"/>
  <c r="AW20"/>
  <c r="AD6"/>
  <c r="AX6"/>
  <c r="AD8"/>
  <c r="W9" i="37"/>
  <c r="W16"/>
  <c r="V16"/>
  <c r="W8"/>
  <c r="V8"/>
  <c r="W11"/>
  <c r="W10"/>
  <c r="V10"/>
  <c r="V15"/>
  <c r="V19"/>
  <c r="W13"/>
  <c r="W17"/>
  <c r="V17"/>
  <c r="W20"/>
  <c r="V20"/>
  <c r="W6"/>
  <c r="V6"/>
  <c r="W12"/>
  <c r="V12"/>
  <c r="W7"/>
  <c r="BE5" i="15"/>
  <c r="BY5"/>
  <c r="BY7"/>
  <c r="BY11"/>
  <c r="BX19"/>
  <c r="AX14"/>
  <c r="AW18"/>
  <c r="AC6"/>
  <c r="AW12"/>
  <c r="W15"/>
  <c r="BD5" i="14"/>
  <c r="BX5"/>
  <c r="BE7"/>
  <c r="BY7"/>
  <c r="AX6"/>
  <c r="AX12"/>
  <c r="AX8"/>
  <c r="AX16"/>
  <c r="AD6"/>
  <c r="V5"/>
  <c r="U11"/>
  <c r="W11" s="1"/>
  <c r="C5"/>
  <c r="BD5" i="12"/>
  <c r="BU22" s="1"/>
  <c r="BW7"/>
  <c r="BW11"/>
  <c r="BX11" s="1"/>
  <c r="BY5"/>
  <c r="AW10"/>
  <c r="BY10" i="3"/>
  <c r="BX15"/>
  <c r="BD5"/>
  <c r="BY8"/>
  <c r="BX13"/>
  <c r="BX5"/>
  <c r="AD5"/>
  <c r="AX5"/>
  <c r="AD11"/>
  <c r="AX13"/>
  <c r="AC20" i="22"/>
  <c r="AW20"/>
  <c r="AX8"/>
  <c r="AC18"/>
  <c r="AW14"/>
  <c r="AW18"/>
  <c r="BD24" i="38"/>
  <c r="BC28" s="1"/>
  <c r="E46" i="48" s="1"/>
  <c r="S46" s="1"/>
  <c r="BD25" i="38"/>
  <c r="BC29" s="1"/>
  <c r="B25"/>
  <c r="A29" s="1"/>
  <c r="AC25" i="37"/>
  <c r="AB29" s="1"/>
  <c r="AC24" i="46"/>
  <c r="AB28" s="1"/>
  <c r="E102" i="48" s="1"/>
  <c r="S102" s="1"/>
  <c r="B24" i="46"/>
  <c r="A28" s="1"/>
  <c r="BD24" i="45"/>
  <c r="BC28" s="1"/>
  <c r="BD25"/>
  <c r="BC29" s="1"/>
  <c r="AC24"/>
  <c r="AB28" s="1"/>
  <c r="E84" i="48" s="1"/>
  <c r="S84" s="1"/>
  <c r="AC25" i="45"/>
  <c r="AB29" s="1"/>
  <c r="B25"/>
  <c r="A29" s="1"/>
  <c r="B24"/>
  <c r="A28" s="1"/>
  <c r="BD24" i="44"/>
  <c r="BC28" s="1"/>
  <c r="E67" i="48" s="1"/>
  <c r="S67" s="1"/>
  <c r="AC24" i="44"/>
  <c r="AB28" s="1"/>
  <c r="E66" i="48" s="1"/>
  <c r="S66" s="1"/>
  <c r="B24" i="44"/>
  <c r="A28" s="1"/>
  <c r="E65" i="48" s="1"/>
  <c r="S65" s="1"/>
  <c r="BD24" i="43"/>
  <c r="BC28" s="1"/>
  <c r="E64" i="48" s="1"/>
  <c r="S64" s="1"/>
  <c r="AC24" i="43"/>
  <c r="AB28" s="1"/>
  <c r="E63" i="48" s="1"/>
  <c r="S63" s="1"/>
  <c r="B24" i="43"/>
  <c r="A28" s="1"/>
  <c r="E62" i="48" s="1"/>
  <c r="S62" s="1"/>
  <c r="BD24" i="42"/>
  <c r="BC28" s="1"/>
  <c r="E61" i="48" s="1"/>
  <c r="S61" s="1"/>
  <c r="B24" i="42"/>
  <c r="A28" s="1"/>
  <c r="E59" i="48" s="1"/>
  <c r="S59" s="1"/>
  <c r="BD25" i="41"/>
  <c r="BC29" s="1"/>
  <c r="U22" i="25"/>
  <c r="U22" i="24"/>
  <c r="V22" s="1"/>
  <c r="AC14"/>
  <c r="AW10"/>
  <c r="AD12"/>
  <c r="AD10"/>
  <c r="AD16"/>
  <c r="AX16"/>
  <c r="AX14"/>
  <c r="AV22"/>
  <c r="AW22" s="1"/>
  <c r="BY11" i="14"/>
  <c r="AD8" i="22"/>
  <c r="AV22"/>
  <c r="B19"/>
  <c r="B17"/>
  <c r="B15"/>
  <c r="C13"/>
  <c r="C11"/>
  <c r="BY19" i="21"/>
  <c r="BY17"/>
  <c r="BY15"/>
  <c r="BY13"/>
  <c r="BY11"/>
  <c r="BE19"/>
  <c r="BE17"/>
  <c r="BE13"/>
  <c r="BD11"/>
  <c r="BE15"/>
  <c r="BW22"/>
  <c r="BX22" s="1"/>
  <c r="BD9"/>
  <c r="AD18"/>
  <c r="AD12"/>
  <c r="AC10"/>
  <c r="AV22"/>
  <c r="AW22" s="1"/>
  <c r="AC16"/>
  <c r="AC14"/>
  <c r="AC20"/>
  <c r="BY13" i="15"/>
  <c r="BE17"/>
  <c r="AX8"/>
  <c r="W9"/>
  <c r="BY19" i="14"/>
  <c r="BY9"/>
  <c r="BX13"/>
  <c r="BY15"/>
  <c r="BY17"/>
  <c r="BD24" i="41"/>
  <c r="BC28" s="1"/>
  <c r="E58" i="48" s="1"/>
  <c r="S58" s="1"/>
  <c r="AC25" i="41"/>
  <c r="AB29" s="1"/>
  <c r="AC24"/>
  <c r="AB28" s="1"/>
  <c r="E57" i="48" s="1"/>
  <c r="S57" s="1"/>
  <c r="B25" i="41"/>
  <c r="A29" s="1"/>
  <c r="B24"/>
  <c r="A28" s="1"/>
  <c r="E56" i="48" s="1"/>
  <c r="S56" s="1"/>
  <c r="B24" i="40"/>
  <c r="A28" s="1"/>
  <c r="E53" i="48" s="1"/>
  <c r="S53" s="1"/>
  <c r="BD24" i="40"/>
  <c r="BC28" s="1"/>
  <c r="E55" i="48" s="1"/>
  <c r="S55" s="1"/>
  <c r="AC24" i="40"/>
  <c r="AB28" s="1"/>
  <c r="E54" i="48" s="1"/>
  <c r="S54" s="1"/>
  <c r="AC24" i="39"/>
  <c r="AB28" s="1"/>
  <c r="E51" i="48" s="1"/>
  <c r="S51" s="1"/>
  <c r="B24" i="39"/>
  <c r="A28" s="1"/>
  <c r="E50" i="48" s="1"/>
  <c r="S50" s="1"/>
  <c r="AC24" i="38"/>
  <c r="AB28" s="1"/>
  <c r="E45" i="48" s="1"/>
  <c r="S45" s="1"/>
  <c r="B24" i="38"/>
  <c r="A28" s="1"/>
  <c r="E44" i="48" s="1"/>
  <c r="S44" s="1"/>
  <c r="BD24" i="37"/>
  <c r="BC28" s="1"/>
  <c r="E43" i="48" s="1"/>
  <c r="S43" s="1"/>
  <c r="AC24" i="37"/>
  <c r="AB28" s="1"/>
  <c r="E42" i="48" s="1"/>
  <c r="S42" s="1"/>
  <c r="BD24" i="36"/>
  <c r="BC28" s="1"/>
  <c r="E40" i="48" s="1"/>
  <c r="S40" s="1"/>
  <c r="BD25" i="36"/>
  <c r="BC29" s="1"/>
  <c r="AC24"/>
  <c r="AB28" s="1"/>
  <c r="E39" i="48" s="1"/>
  <c r="S39" s="1"/>
  <c r="AV22" i="25"/>
  <c r="BX19" i="26"/>
  <c r="BE9"/>
  <c r="BE11"/>
  <c r="BE13"/>
  <c r="BE17"/>
  <c r="BE7"/>
  <c r="AC6"/>
  <c r="AD10"/>
  <c r="AX10"/>
  <c r="AD12"/>
  <c r="AX12"/>
  <c r="AD14"/>
  <c r="AX14"/>
  <c r="AX20"/>
  <c r="W11"/>
  <c r="C13"/>
  <c r="W13"/>
  <c r="W15"/>
  <c r="W17"/>
  <c r="W19"/>
  <c r="C11"/>
  <c r="BE5" i="25"/>
  <c r="BY5"/>
  <c r="BE7"/>
  <c r="BY7"/>
  <c r="BE9"/>
  <c r="BY9"/>
  <c r="BE11"/>
  <c r="BY11"/>
  <c r="BE13"/>
  <c r="BY13"/>
  <c r="BE15"/>
  <c r="BY15"/>
  <c r="BE17"/>
  <c r="BY17"/>
  <c r="BE19"/>
  <c r="BY19"/>
  <c r="AD6"/>
  <c r="AX6"/>
  <c r="AD8"/>
  <c r="AX8"/>
  <c r="AD10"/>
  <c r="AX10"/>
  <c r="AD12"/>
  <c r="AX12"/>
  <c r="AD14"/>
  <c r="AX14"/>
  <c r="AD16"/>
  <c r="AX16"/>
  <c r="AD18"/>
  <c r="AX18"/>
  <c r="AD20"/>
  <c r="C5"/>
  <c r="W5"/>
  <c r="C7"/>
  <c r="U7" s="1"/>
  <c r="C9"/>
  <c r="U9" s="1"/>
  <c r="C11"/>
  <c r="U11" s="1"/>
  <c r="C13"/>
  <c r="U13" s="1"/>
  <c r="C15"/>
  <c r="U15" s="1"/>
  <c r="C17"/>
  <c r="U17" s="1"/>
  <c r="C19"/>
  <c r="U19" s="1"/>
  <c r="BE5" i="24"/>
  <c r="BY5"/>
  <c r="BE13"/>
  <c r="BY13"/>
  <c r="BE19"/>
  <c r="BY19"/>
  <c r="AC6"/>
  <c r="AC8"/>
  <c r="AD20"/>
  <c r="AX20"/>
  <c r="AX18"/>
  <c r="C5"/>
  <c r="W5"/>
  <c r="C7"/>
  <c r="W7"/>
  <c r="C9"/>
  <c r="W9"/>
  <c r="C11"/>
  <c r="W11"/>
  <c r="C13"/>
  <c r="W13"/>
  <c r="C15"/>
  <c r="C17"/>
  <c r="C19"/>
  <c r="BE7" i="23"/>
  <c r="BY7"/>
  <c r="BE9"/>
  <c r="BY9"/>
  <c r="BE11"/>
  <c r="BY11"/>
  <c r="BE13"/>
  <c r="BY13"/>
  <c r="BE15"/>
  <c r="BY15"/>
  <c r="BE17"/>
  <c r="BY17"/>
  <c r="BE19"/>
  <c r="BY19"/>
  <c r="AC6"/>
  <c r="AX8"/>
  <c r="AD10"/>
  <c r="AX10"/>
  <c r="AD12"/>
  <c r="AX12"/>
  <c r="AD14"/>
  <c r="AX14"/>
  <c r="AD16"/>
  <c r="AX16"/>
  <c r="AD18"/>
  <c r="AX18"/>
  <c r="AD20"/>
  <c r="AX20"/>
  <c r="AV22"/>
  <c r="AW22" s="1"/>
  <c r="B5"/>
  <c r="B7"/>
  <c r="W9"/>
  <c r="C11"/>
  <c r="W11"/>
  <c r="C13"/>
  <c r="W13"/>
  <c r="C15"/>
  <c r="W15"/>
  <c r="C17"/>
  <c r="W17"/>
  <c r="C19"/>
  <c r="W19"/>
  <c r="BD5" i="22"/>
  <c r="BX5"/>
  <c r="BD9"/>
  <c r="BX9"/>
  <c r="BD11"/>
  <c r="BX11"/>
  <c r="BD13"/>
  <c r="BX13"/>
  <c r="BY17"/>
  <c r="AC6"/>
  <c r="AW6"/>
  <c r="AC10"/>
  <c r="AW10"/>
  <c r="AC12"/>
  <c r="AW12"/>
  <c r="AC14"/>
  <c r="AX14" i="14"/>
  <c r="AX18"/>
  <c r="V7" i="12"/>
  <c r="V9"/>
  <c r="W13"/>
  <c r="W15"/>
  <c r="W17"/>
  <c r="AX17" i="3"/>
  <c r="V5"/>
  <c r="B25" i="46"/>
  <c r="A29" s="1"/>
  <c r="AC25"/>
  <c r="AB29" s="1"/>
  <c r="BD25" i="44"/>
  <c r="BC29" s="1"/>
  <c r="B25"/>
  <c r="A29" s="1"/>
  <c r="AC25"/>
  <c r="AB29" s="1"/>
  <c r="BD25" i="43"/>
  <c r="BC29" s="1"/>
  <c r="B25"/>
  <c r="A29" s="1"/>
  <c r="AC25"/>
  <c r="AB29" s="1"/>
  <c r="BD25" i="42"/>
  <c r="BC29" s="1"/>
  <c r="B25"/>
  <c r="A29" s="1"/>
  <c r="BD25" i="40"/>
  <c r="BC29" s="1"/>
  <c r="B25"/>
  <c r="A29" s="1"/>
  <c r="AC25"/>
  <c r="AB29" s="1"/>
  <c r="BD25" i="39"/>
  <c r="BC29" s="1"/>
  <c r="B25"/>
  <c r="A29" s="1"/>
  <c r="B25" i="36"/>
  <c r="A29" s="1"/>
  <c r="AC25"/>
  <c r="AB29" s="1"/>
  <c r="C9" i="26"/>
  <c r="BW22"/>
  <c r="BX22" s="1"/>
  <c r="AV22"/>
  <c r="AW22" s="1"/>
  <c r="U22"/>
  <c r="U22" i="23"/>
  <c r="V22" s="1"/>
  <c r="B9"/>
  <c r="AD8"/>
  <c r="U22" i="22"/>
  <c r="V22" s="1"/>
  <c r="B9"/>
  <c r="B7"/>
  <c r="BY17" i="15"/>
  <c r="BY9"/>
  <c r="BY15"/>
  <c r="U22" i="21"/>
  <c r="V22" s="1"/>
  <c r="B5"/>
  <c r="V5"/>
  <c r="B7"/>
  <c r="V7"/>
  <c r="B9"/>
  <c r="V9"/>
  <c r="B11"/>
  <c r="V11"/>
  <c r="B13"/>
  <c r="V13"/>
  <c r="B15"/>
  <c r="V15"/>
  <c r="B17"/>
  <c r="V17"/>
  <c r="B19"/>
  <c r="V19"/>
  <c r="BD11" i="15"/>
  <c r="BE9"/>
  <c r="BD19"/>
  <c r="BD15"/>
  <c r="BD13"/>
  <c r="BE9" i="14"/>
  <c r="BD13"/>
  <c r="AW20"/>
  <c r="BY11" i="12"/>
  <c r="AC20"/>
  <c r="AC17" i="3"/>
  <c r="AD15"/>
  <c r="AC9"/>
  <c r="AC20" i="15"/>
  <c r="AD18"/>
  <c r="AC16"/>
  <c r="AD14"/>
  <c r="AC12"/>
  <c r="AD10"/>
  <c r="C13"/>
  <c r="C11"/>
  <c r="C15"/>
  <c r="C19"/>
  <c r="BE15" i="14"/>
  <c r="BE11"/>
  <c r="BE17"/>
  <c r="BE19"/>
  <c r="BW22"/>
  <c r="BX22" s="1"/>
  <c r="AD20"/>
  <c r="AD18"/>
  <c r="AD14"/>
  <c r="AD16"/>
  <c r="AD12"/>
  <c r="AD10"/>
  <c r="AV22"/>
  <c r="AW22" s="1"/>
  <c r="C11"/>
  <c r="C13"/>
  <c r="U13" s="1"/>
  <c r="C15"/>
  <c r="U15" s="1"/>
  <c r="B19"/>
  <c r="U19" s="1"/>
  <c r="V19" s="1"/>
  <c r="AC8"/>
  <c r="B7"/>
  <c r="U7" s="1"/>
  <c r="B17"/>
  <c r="U17" s="1"/>
  <c r="BE9" i="12"/>
  <c r="BW9" s="1"/>
  <c r="BE19"/>
  <c r="BW19" s="1"/>
  <c r="BE17"/>
  <c r="BW17" s="1"/>
  <c r="BE15"/>
  <c r="BW15" s="1"/>
  <c r="BE13"/>
  <c r="BW13" s="1"/>
  <c r="BE11"/>
  <c r="AX8"/>
  <c r="AD18"/>
  <c r="AD16"/>
  <c r="AD14"/>
  <c r="AD12"/>
  <c r="AD10"/>
  <c r="AD6"/>
  <c r="B15"/>
  <c r="C19"/>
  <c r="C17"/>
  <c r="C13"/>
  <c r="V13" i="15"/>
  <c r="C17"/>
  <c r="BW22"/>
  <c r="BX22" s="1"/>
  <c r="BE7"/>
  <c r="AW20"/>
  <c r="B7"/>
  <c r="AV22"/>
  <c r="AW22" s="1"/>
  <c r="AD8"/>
  <c r="B9"/>
  <c r="U22"/>
  <c r="V22" s="1"/>
  <c r="U22" i="14"/>
  <c r="V22" s="1"/>
  <c r="C9"/>
  <c r="U9" s="1"/>
  <c r="V5" i="12"/>
  <c r="AX20"/>
  <c r="AD8"/>
  <c r="C9"/>
  <c r="C11"/>
  <c r="U22"/>
  <c r="V22" s="1"/>
  <c r="BX17" i="3"/>
  <c r="BD11"/>
  <c r="BD13"/>
  <c r="BD17"/>
  <c r="BD15"/>
  <c r="BD19"/>
  <c r="V22" i="26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V22" i="25"/>
  <c r="AW22"/>
  <c r="BX22"/>
  <c r="AX20"/>
  <c r="AD5"/>
  <c r="AX5"/>
  <c r="C6"/>
  <c r="U6" s="1"/>
  <c r="BE6"/>
  <c r="BY6"/>
  <c r="AD7"/>
  <c r="AX7"/>
  <c r="C8"/>
  <c r="U8" s="1"/>
  <c r="BE8"/>
  <c r="BY8"/>
  <c r="AD9"/>
  <c r="AX9"/>
  <c r="C10"/>
  <c r="U10" s="1"/>
  <c r="BE10"/>
  <c r="BY10"/>
  <c r="AD11"/>
  <c r="AX11"/>
  <c r="C12"/>
  <c r="U12" s="1"/>
  <c r="BE12"/>
  <c r="BY12"/>
  <c r="AD13"/>
  <c r="AX13"/>
  <c r="C14"/>
  <c r="U14" s="1"/>
  <c r="BE14"/>
  <c r="BY14"/>
  <c r="AD15"/>
  <c r="AX15"/>
  <c r="C16"/>
  <c r="U16" s="1"/>
  <c r="BE16"/>
  <c r="BY16"/>
  <c r="AD17"/>
  <c r="AX17"/>
  <c r="C18"/>
  <c r="U18" s="1"/>
  <c r="BE18"/>
  <c r="BY18"/>
  <c r="AD19"/>
  <c r="AX19"/>
  <c r="C20"/>
  <c r="U20" s="1"/>
  <c r="BE20"/>
  <c r="BY20"/>
  <c r="BX22" i="24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BX22" i="23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W22" i="22"/>
  <c r="BX22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D5" i="21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D5" i="1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D5" i="14"/>
  <c r="AX5"/>
  <c r="C6"/>
  <c r="U6" s="1"/>
  <c r="BE6"/>
  <c r="BY6"/>
  <c r="AD7"/>
  <c r="AX7"/>
  <c r="C8"/>
  <c r="U8" s="1"/>
  <c r="BE8"/>
  <c r="BY8"/>
  <c r="AD9"/>
  <c r="AX9"/>
  <c r="C10"/>
  <c r="U10" s="1"/>
  <c r="BE10"/>
  <c r="BY10"/>
  <c r="AD11"/>
  <c r="AX11"/>
  <c r="C12"/>
  <c r="U12" s="1"/>
  <c r="BE12"/>
  <c r="BY12"/>
  <c r="AD13"/>
  <c r="AX13"/>
  <c r="C14"/>
  <c r="U14" s="1"/>
  <c r="BE14"/>
  <c r="BY14"/>
  <c r="AD15"/>
  <c r="AX15"/>
  <c r="C16"/>
  <c r="U16" s="1"/>
  <c r="BE16"/>
  <c r="BY16"/>
  <c r="AD17"/>
  <c r="AX17"/>
  <c r="C18"/>
  <c r="U18" s="1"/>
  <c r="BE18"/>
  <c r="BY18"/>
  <c r="AD19"/>
  <c r="AX19"/>
  <c r="C20"/>
  <c r="U20" s="1"/>
  <c r="BE20"/>
  <c r="BY20"/>
  <c r="AX18" i="12"/>
  <c r="AX14"/>
  <c r="AX12"/>
  <c r="AV22"/>
  <c r="AW22" s="1"/>
  <c r="AD5"/>
  <c r="AX5"/>
  <c r="C6"/>
  <c r="W6"/>
  <c r="BE6"/>
  <c r="BW6" s="1"/>
  <c r="BX6" s="1"/>
  <c r="AD7"/>
  <c r="AX7"/>
  <c r="C8"/>
  <c r="W8"/>
  <c r="BE8"/>
  <c r="BW8" s="1"/>
  <c r="AD9"/>
  <c r="AX9"/>
  <c r="C10"/>
  <c r="W10"/>
  <c r="BE10"/>
  <c r="BW10" s="1"/>
  <c r="AD11"/>
  <c r="AX11"/>
  <c r="C12"/>
  <c r="W12"/>
  <c r="BE12"/>
  <c r="BW12" s="1"/>
  <c r="AD13"/>
  <c r="AX13"/>
  <c r="C14"/>
  <c r="W14"/>
  <c r="BE14"/>
  <c r="BW14" s="1"/>
  <c r="AD15"/>
  <c r="AX15"/>
  <c r="C16"/>
  <c r="W16"/>
  <c r="BE16"/>
  <c r="BW16" s="1"/>
  <c r="AD17"/>
  <c r="AX17"/>
  <c r="C18"/>
  <c r="W18"/>
  <c r="BE18"/>
  <c r="BW18" s="1"/>
  <c r="AD19"/>
  <c r="AX19"/>
  <c r="C20"/>
  <c r="W20"/>
  <c r="BE20"/>
  <c r="BW20" s="1"/>
  <c r="BD9" i="3"/>
  <c r="BX11"/>
  <c r="AX15"/>
  <c r="BX7"/>
  <c r="AW11"/>
  <c r="AW9"/>
  <c r="BX9"/>
  <c r="AD13"/>
  <c r="BX22"/>
  <c r="AD7"/>
  <c r="AX7"/>
  <c r="AV22"/>
  <c r="AW22" s="1"/>
  <c r="BE6"/>
  <c r="BY19"/>
  <c r="BE8"/>
  <c r="BE10"/>
  <c r="BE12"/>
  <c r="BY12"/>
  <c r="BE14"/>
  <c r="BY14"/>
  <c r="BE16"/>
  <c r="BY16"/>
  <c r="BE18"/>
  <c r="BY18"/>
  <c r="BE20"/>
  <c r="BY20"/>
  <c r="AX19"/>
  <c r="AD6"/>
  <c r="AX6"/>
  <c r="AD8"/>
  <c r="AX8"/>
  <c r="AD10"/>
  <c r="AX10"/>
  <c r="AD12"/>
  <c r="AX12"/>
  <c r="AD14"/>
  <c r="AX14"/>
  <c r="AD16"/>
  <c r="AX16"/>
  <c r="AD18"/>
  <c r="AX18"/>
  <c r="AD20"/>
  <c r="AX20"/>
  <c r="B9"/>
  <c r="U9" s="1"/>
  <c r="W9" s="1"/>
  <c r="B11"/>
  <c r="U11" s="1"/>
  <c r="V11" s="1"/>
  <c r="B5"/>
  <c r="C13"/>
  <c r="U13" s="1"/>
  <c r="W11"/>
  <c r="B7"/>
  <c r="U7" s="1"/>
  <c r="W7" s="1"/>
  <c r="C15"/>
  <c r="U15" s="1"/>
  <c r="C17"/>
  <c r="U17" s="1"/>
  <c r="C19"/>
  <c r="U19" s="1"/>
  <c r="C6"/>
  <c r="U6" s="1"/>
  <c r="C8"/>
  <c r="U8" s="1"/>
  <c r="C10"/>
  <c r="U10" s="1"/>
  <c r="C12"/>
  <c r="U12" s="1"/>
  <c r="C14"/>
  <c r="U14" s="1"/>
  <c r="C16"/>
  <c r="U16" s="1"/>
  <c r="C18"/>
  <c r="U18" s="1"/>
  <c r="C20"/>
  <c r="U20" s="1"/>
  <c r="S71" i="48" l="1"/>
  <c r="E101"/>
  <c r="S101" s="1"/>
  <c r="S70"/>
  <c r="E85"/>
  <c r="S85" s="1"/>
  <c r="S68"/>
  <c r="E83"/>
  <c r="S83" s="1"/>
  <c r="AC25" i="42"/>
  <c r="AB29" s="1"/>
  <c r="BX6" i="46"/>
  <c r="BD24" s="1"/>
  <c r="BC28" s="1"/>
  <c r="E103" i="48" s="1"/>
  <c r="S103" s="1"/>
  <c r="BY6" i="46"/>
  <c r="BD25" s="1"/>
  <c r="BC29" s="1"/>
  <c r="BX5" i="57"/>
  <c r="BD24" s="1"/>
  <c r="BC28" s="1"/>
  <c r="E94" i="48" s="1"/>
  <c r="S94" s="1"/>
  <c r="BY5" i="57"/>
  <c r="BD25" s="1"/>
  <c r="BC29" s="1"/>
  <c r="AC24" i="42"/>
  <c r="AB28" s="1"/>
  <c r="E60" i="48" s="1"/>
  <c r="S60" s="1"/>
  <c r="V18" i="25"/>
  <c r="W18"/>
  <c r="V10"/>
  <c r="W10"/>
  <c r="V11"/>
  <c r="W11"/>
  <c r="V20"/>
  <c r="W20"/>
  <c r="V12"/>
  <c r="W12"/>
  <c r="V13"/>
  <c r="W13"/>
  <c r="V15"/>
  <c r="W15"/>
  <c r="V14"/>
  <c r="W14"/>
  <c r="V6"/>
  <c r="W6"/>
  <c r="V7"/>
  <c r="W7"/>
  <c r="V16"/>
  <c r="W16"/>
  <c r="V8"/>
  <c r="W8"/>
  <c r="V17"/>
  <c r="W17"/>
  <c r="V9"/>
  <c r="W9"/>
  <c r="V19"/>
  <c r="W19"/>
  <c r="B24" i="37"/>
  <c r="A28" s="1"/>
  <c r="E41" i="48" s="1"/>
  <c r="S41" s="1"/>
  <c r="B25" i="37"/>
  <c r="A29" s="1"/>
  <c r="V18" i="14"/>
  <c r="W18"/>
  <c r="V10"/>
  <c r="W10"/>
  <c r="V9"/>
  <c r="W9"/>
  <c r="V20"/>
  <c r="W20"/>
  <c r="V12"/>
  <c r="W12"/>
  <c r="V14"/>
  <c r="W14"/>
  <c r="V6"/>
  <c r="W6"/>
  <c r="V13"/>
  <c r="W13"/>
  <c r="V16"/>
  <c r="W16"/>
  <c r="V8"/>
  <c r="W8"/>
  <c r="V15"/>
  <c r="W15"/>
  <c r="V17"/>
  <c r="W17"/>
  <c r="W19"/>
  <c r="V11"/>
  <c r="W7"/>
  <c r="V7"/>
  <c r="BY6" i="12"/>
  <c r="BX18"/>
  <c r="BY18"/>
  <c r="BX10"/>
  <c r="BY10"/>
  <c r="BX13"/>
  <c r="BY13"/>
  <c r="BX9"/>
  <c r="BY9"/>
  <c r="BX20"/>
  <c r="BY20"/>
  <c r="BX12"/>
  <c r="BY12"/>
  <c r="BX19"/>
  <c r="BY19"/>
  <c r="BX14"/>
  <c r="BY14"/>
  <c r="BY17"/>
  <c r="BX17"/>
  <c r="BX16"/>
  <c r="BY16"/>
  <c r="BX8"/>
  <c r="BY8"/>
  <c r="BY15"/>
  <c r="BX15"/>
  <c r="BY7"/>
  <c r="BX7"/>
  <c r="BV22"/>
  <c r="BW22" s="1"/>
  <c r="BX22" s="1"/>
  <c r="V7" i="3"/>
  <c r="V14"/>
  <c r="W14"/>
  <c r="V6"/>
  <c r="W6"/>
  <c r="V13"/>
  <c r="W13"/>
  <c r="V16"/>
  <c r="W16"/>
  <c r="V8"/>
  <c r="W8"/>
  <c r="V15"/>
  <c r="W15"/>
  <c r="V18"/>
  <c r="W18"/>
  <c r="V10"/>
  <c r="W10"/>
  <c r="V17"/>
  <c r="W17"/>
  <c r="V20"/>
  <c r="B24" s="1"/>
  <c r="A28" s="1"/>
  <c r="E8" i="48" s="1"/>
  <c r="S8" s="1"/>
  <c r="W20" i="3"/>
  <c r="V12"/>
  <c r="W12"/>
  <c r="V19"/>
  <c r="W19"/>
  <c r="V9"/>
  <c r="S69" i="48"/>
  <c r="BD24" i="21"/>
  <c r="BC28" s="1"/>
  <c r="E22" i="48" s="1"/>
  <c r="S22" s="1"/>
  <c r="AC24" i="21"/>
  <c r="AB28" s="1"/>
  <c r="E21" i="48" s="1"/>
  <c r="S21" s="1"/>
  <c r="BD24" i="26"/>
  <c r="BC28" s="1"/>
  <c r="E37" i="48" s="1"/>
  <c r="S37" s="1"/>
  <c r="B24" i="26"/>
  <c r="A28" s="1"/>
  <c r="E35" i="48" s="1"/>
  <c r="S35" s="1"/>
  <c r="BD24" i="25"/>
  <c r="BC28" s="1"/>
  <c r="E34" i="48" s="1"/>
  <c r="S34" s="1"/>
  <c r="AC24" i="25"/>
  <c r="AB28" s="1"/>
  <c r="E33" i="48" s="1"/>
  <c r="S33" s="1"/>
  <c r="B24" i="25"/>
  <c r="A28" s="1"/>
  <c r="E32" i="48" s="1"/>
  <c r="S32" s="1"/>
  <c r="BD24" i="24"/>
  <c r="BC28" s="1"/>
  <c r="E31" i="48" s="1"/>
  <c r="S31" s="1"/>
  <c r="BD25" i="24"/>
  <c r="BC29" s="1"/>
  <c r="AC24"/>
  <c r="AB28" s="1"/>
  <c r="E30" i="48" s="1"/>
  <c r="S30" s="1"/>
  <c r="B24" i="24"/>
  <c r="A28" s="1"/>
  <c r="E29" i="48" s="1"/>
  <c r="S29" s="1"/>
  <c r="BD24" i="23"/>
  <c r="BC28" s="1"/>
  <c r="E28" i="48" s="1"/>
  <c r="S28" s="1"/>
  <c r="BD24" i="22"/>
  <c r="BC28" s="1"/>
  <c r="E25" i="48" s="1"/>
  <c r="S25" s="1"/>
  <c r="AC24" i="22"/>
  <c r="AB28" s="1"/>
  <c r="E24" i="48" s="1"/>
  <c r="S24" s="1"/>
  <c r="AC24" i="26"/>
  <c r="AB28" s="1"/>
  <c r="E36" i="48" s="1"/>
  <c r="S36" s="1"/>
  <c r="B24" i="23"/>
  <c r="A28" s="1"/>
  <c r="E26" i="48" s="1"/>
  <c r="S26" s="1"/>
  <c r="AC24" i="23"/>
  <c r="AB28" s="1"/>
  <c r="E27" i="48" s="1"/>
  <c r="S27" s="1"/>
  <c r="B24" i="22"/>
  <c r="A28" s="1"/>
  <c r="E23" i="48" s="1"/>
  <c r="S23" s="1"/>
  <c r="B24" i="21"/>
  <c r="A28" s="1"/>
  <c r="E20" i="48" s="1"/>
  <c r="S20" s="1"/>
  <c r="BD24" i="14"/>
  <c r="BC28" s="1"/>
  <c r="E16" i="48" s="1"/>
  <c r="S16" s="1"/>
  <c r="AC24" i="14"/>
  <c r="AB28" s="1"/>
  <c r="E15" i="48" s="1"/>
  <c r="S15" s="1"/>
  <c r="BD24" i="15"/>
  <c r="BC28" s="1"/>
  <c r="E19" i="48" s="1"/>
  <c r="S19" s="1"/>
  <c r="AC24" i="15"/>
  <c r="AB28" s="1"/>
  <c r="E18" i="48" s="1"/>
  <c r="S18" s="1"/>
  <c r="B24" i="15"/>
  <c r="A28" s="1"/>
  <c r="E17" i="48" s="1"/>
  <c r="S17" s="1"/>
  <c r="B24" i="12"/>
  <c r="A28" s="1"/>
  <c r="E11" i="48" s="1"/>
  <c r="S11" s="1"/>
  <c r="BD25" i="26"/>
  <c r="BC29" s="1"/>
  <c r="B25"/>
  <c r="A29" s="1"/>
  <c r="AC25"/>
  <c r="AB29" s="1"/>
  <c r="BD25" i="25"/>
  <c r="BC29" s="1"/>
  <c r="AC25"/>
  <c r="AB29" s="1"/>
  <c r="B25" i="24"/>
  <c r="A29" s="1"/>
  <c r="AC25"/>
  <c r="AB29" s="1"/>
  <c r="BD25" i="23"/>
  <c r="BC29" s="1"/>
  <c r="B25"/>
  <c r="A29" s="1"/>
  <c r="AC25"/>
  <c r="AB29" s="1"/>
  <c r="BD25" i="22"/>
  <c r="BC29" s="1"/>
  <c r="B25"/>
  <c r="A29" s="1"/>
  <c r="AC25"/>
  <c r="AB29" s="1"/>
  <c r="BD25" i="21"/>
  <c r="BC29" s="1"/>
  <c r="B25"/>
  <c r="A29" s="1"/>
  <c r="AC25"/>
  <c r="AB29" s="1"/>
  <c r="BD25" i="15"/>
  <c r="BC29" s="1"/>
  <c r="B25"/>
  <c r="A29" s="1"/>
  <c r="AC25"/>
  <c r="AB29" s="1"/>
  <c r="BD25" i="14"/>
  <c r="BC29" s="1"/>
  <c r="AC25"/>
  <c r="AB29" s="1"/>
  <c r="AC24" i="12"/>
  <c r="AB28" s="1"/>
  <c r="E12" i="48" s="1"/>
  <c r="S12" s="1"/>
  <c r="B25" i="12"/>
  <c r="A29" s="1"/>
  <c r="AC25"/>
  <c r="AB29" s="1"/>
  <c r="BD24" i="3"/>
  <c r="BC28" s="1"/>
  <c r="E10" i="48" s="1"/>
  <c r="S10" s="1"/>
  <c r="AC24" i="3"/>
  <c r="AB28" s="1"/>
  <c r="E9" i="48" s="1"/>
  <c r="S9" s="1"/>
  <c r="BD25" i="3"/>
  <c r="BC29" s="1"/>
  <c r="AC25"/>
  <c r="AB29" s="1"/>
  <c r="BD25" i="12" l="1"/>
  <c r="BC29" s="1"/>
  <c r="BD24"/>
  <c r="BC28" s="1"/>
  <c r="E13" i="48" s="1"/>
  <c r="S13" s="1"/>
  <c r="B25" i="25"/>
  <c r="A29" s="1"/>
  <c r="B25" i="14"/>
  <c r="A29" s="1"/>
  <c r="B24"/>
  <c r="A28" s="1"/>
  <c r="E14" i="48" s="1"/>
  <c r="S14" s="1"/>
  <c r="B25" i="3"/>
  <c r="A29" s="1"/>
  <c r="H22" i="51"/>
  <c r="I22"/>
  <c r="J22"/>
  <c r="L22"/>
  <c r="K22"/>
  <c r="M22"/>
  <c r="U5"/>
  <c r="G22"/>
  <c r="D5"/>
  <c r="V5" l="1"/>
  <c r="W5"/>
  <c r="U22"/>
  <c r="V22" s="1"/>
  <c r="B5"/>
  <c r="C5"/>
  <c r="B24" l="1"/>
  <c r="B25"/>
  <c r="A29" s="1"/>
  <c r="A28" l="1"/>
  <c r="AA27" s="1"/>
  <c r="CI17"/>
  <c r="CF17" s="1"/>
  <c r="CL17" s="1"/>
  <c r="CI16"/>
  <c r="CF16" s="1"/>
  <c r="CL16" s="1"/>
  <c r="CI7"/>
  <c r="CF7" s="1"/>
  <c r="CL7" s="1"/>
  <c r="CI5"/>
  <c r="CF5" s="1"/>
  <c r="CL5" s="1"/>
  <c r="CI10"/>
  <c r="CE10" s="1"/>
  <c r="CK10" s="1"/>
  <c r="CI12"/>
  <c r="CF12" s="1"/>
  <c r="CL12" s="1"/>
  <c r="CI15"/>
  <c r="CF15" s="1"/>
  <c r="CL15" s="1"/>
  <c r="CI8"/>
  <c r="CF8" s="1"/>
  <c r="CL8" s="1"/>
  <c r="CI6"/>
  <c r="CF6" s="1"/>
  <c r="CL6" s="1"/>
  <c r="CI13"/>
  <c r="CF13" s="1"/>
  <c r="CL13" s="1"/>
  <c r="CI18"/>
  <c r="CF18" s="1"/>
  <c r="CL18" s="1"/>
  <c r="CI14"/>
  <c r="CF14" s="1"/>
  <c r="CL14" s="1"/>
  <c r="CI11"/>
  <c r="CF11" s="1"/>
  <c r="CL11" s="1"/>
  <c r="CI9"/>
  <c r="CF9" s="1"/>
  <c r="CL9" s="1"/>
  <c r="CI20"/>
  <c r="CF20" s="1"/>
  <c r="CL20" s="1"/>
  <c r="CI19"/>
  <c r="CE19" s="1"/>
  <c r="CE14" l="1"/>
  <c r="CK14" s="1"/>
  <c r="CM14" s="1"/>
  <c r="CR14" s="1"/>
  <c r="DI14" s="1"/>
  <c r="CE9"/>
  <c r="CK9" s="1"/>
  <c r="CM9" s="1"/>
  <c r="CE16"/>
  <c r="CK16" s="1"/>
  <c r="CM16" s="1"/>
  <c r="CE13"/>
  <c r="CK13" s="1"/>
  <c r="CM13" s="1"/>
  <c r="CN13" s="1"/>
  <c r="DE13" s="1"/>
  <c r="CE15"/>
  <c r="CK15" s="1"/>
  <c r="CM15" s="1"/>
  <c r="CR15" s="1"/>
  <c r="DI15" s="1"/>
  <c r="CE17"/>
  <c r="CK17" s="1"/>
  <c r="CM17" s="1"/>
  <c r="CE21"/>
  <c r="CK21" s="1"/>
  <c r="CK19"/>
  <c r="CE20"/>
  <c r="CE6"/>
  <c r="CK6" s="1"/>
  <c r="CM6" s="1"/>
  <c r="CE8"/>
  <c r="CK8" s="1"/>
  <c r="CM8" s="1"/>
  <c r="CE12"/>
  <c r="CK12" s="1"/>
  <c r="CM12" s="1"/>
  <c r="CE5"/>
  <c r="CK5" s="1"/>
  <c r="CM5" s="1"/>
  <c r="CF10"/>
  <c r="CL10" s="1"/>
  <c r="CM10" s="1"/>
  <c r="CF19"/>
  <c r="CL19" s="1"/>
  <c r="CE11"/>
  <c r="CK11" s="1"/>
  <c r="CM11" s="1"/>
  <c r="CE18"/>
  <c r="CK18" s="1"/>
  <c r="CM18" s="1"/>
  <c r="CE7"/>
  <c r="CK7" s="1"/>
  <c r="CM7" s="1"/>
  <c r="DB14" l="1"/>
  <c r="DS14" s="1"/>
  <c r="CY14"/>
  <c r="DP14" s="1"/>
  <c r="CZ14"/>
  <c r="DQ14" s="1"/>
  <c r="CU14"/>
  <c r="DL14" s="1"/>
  <c r="CS14"/>
  <c r="DJ14" s="1"/>
  <c r="CX14"/>
  <c r="DO14" s="1"/>
  <c r="CW14"/>
  <c r="DN14" s="1"/>
  <c r="DA14"/>
  <c r="DR14" s="1"/>
  <c r="CO14"/>
  <c r="DF14" s="1"/>
  <c r="CT14"/>
  <c r="DK14" s="1"/>
  <c r="CQ14"/>
  <c r="DH14" s="1"/>
  <c r="CV14"/>
  <c r="DM14" s="1"/>
  <c r="DC14"/>
  <c r="DT14" s="1"/>
  <c r="CP14"/>
  <c r="DG14" s="1"/>
  <c r="CN14"/>
  <c r="DE14" s="1"/>
  <c r="CT13"/>
  <c r="DK13" s="1"/>
  <c r="DC13"/>
  <c r="DT13" s="1"/>
  <c r="DB13"/>
  <c r="DS13" s="1"/>
  <c r="CO13"/>
  <c r="DF13" s="1"/>
  <c r="CQ13"/>
  <c r="DH13" s="1"/>
  <c r="CR13"/>
  <c r="DI13" s="1"/>
  <c r="CP13"/>
  <c r="DG13" s="1"/>
  <c r="CV13"/>
  <c r="DM13" s="1"/>
  <c r="CZ13"/>
  <c r="DQ13" s="1"/>
  <c r="CW13"/>
  <c r="DN13" s="1"/>
  <c r="CO15"/>
  <c r="DF15" s="1"/>
  <c r="CW15"/>
  <c r="DN15" s="1"/>
  <c r="CX13"/>
  <c r="DO13" s="1"/>
  <c r="CS13"/>
  <c r="DJ13" s="1"/>
  <c r="CY13"/>
  <c r="DP13" s="1"/>
  <c r="DA13"/>
  <c r="DR13" s="1"/>
  <c r="CU13"/>
  <c r="DL13" s="1"/>
  <c r="CP15"/>
  <c r="DG15" s="1"/>
  <c r="CT15"/>
  <c r="DK15" s="1"/>
  <c r="CU15"/>
  <c r="DL15" s="1"/>
  <c r="CN15"/>
  <c r="DE15" s="1"/>
  <c r="CQ15"/>
  <c r="DH15" s="1"/>
  <c r="CX15"/>
  <c r="DO15" s="1"/>
  <c r="DA15"/>
  <c r="DR15" s="1"/>
  <c r="DC15"/>
  <c r="DT15" s="1"/>
  <c r="DB15"/>
  <c r="DS15" s="1"/>
  <c r="CZ15"/>
  <c r="DQ15" s="1"/>
  <c r="CS15"/>
  <c r="DJ15" s="1"/>
  <c r="CY15"/>
  <c r="DP15" s="1"/>
  <c r="CV15"/>
  <c r="DM15" s="1"/>
  <c r="CQ10"/>
  <c r="DH10" s="1"/>
  <c r="CS10"/>
  <c r="DJ10" s="1"/>
  <c r="CW10"/>
  <c r="DN10" s="1"/>
  <c r="DC10"/>
  <c r="DT10" s="1"/>
  <c r="CU10"/>
  <c r="DL10" s="1"/>
  <c r="CR10"/>
  <c r="DI10" s="1"/>
  <c r="DA10"/>
  <c r="DR10" s="1"/>
  <c r="CO10"/>
  <c r="DF10" s="1"/>
  <c r="CT10"/>
  <c r="DK10" s="1"/>
  <c r="CZ10"/>
  <c r="DQ10" s="1"/>
  <c r="CX10"/>
  <c r="DO10" s="1"/>
  <c r="CV10"/>
  <c r="DM10" s="1"/>
  <c r="CN10"/>
  <c r="DE10" s="1"/>
  <c r="CY10"/>
  <c r="DP10" s="1"/>
  <c r="CP10"/>
  <c r="DG10" s="1"/>
  <c r="DB10"/>
  <c r="DS10" s="1"/>
  <c r="CO17"/>
  <c r="DF17" s="1"/>
  <c r="CP17"/>
  <c r="DG17" s="1"/>
  <c r="CQ17"/>
  <c r="DH17" s="1"/>
  <c r="CN17"/>
  <c r="DE17" s="1"/>
  <c r="DA17"/>
  <c r="DR17" s="1"/>
  <c r="DB17"/>
  <c r="DS17" s="1"/>
  <c r="DC17"/>
  <c r="DT17" s="1"/>
  <c r="CZ17"/>
  <c r="DQ17" s="1"/>
  <c r="CW17"/>
  <c r="DN17" s="1"/>
  <c r="CX17"/>
  <c r="DO17" s="1"/>
  <c r="CY17"/>
  <c r="DP17" s="1"/>
  <c r="CV17"/>
  <c r="DM17" s="1"/>
  <c r="CS17"/>
  <c r="DJ17" s="1"/>
  <c r="CT17"/>
  <c r="DK17" s="1"/>
  <c r="CU17"/>
  <c r="DL17" s="1"/>
  <c r="CR17"/>
  <c r="DI17" s="1"/>
  <c r="CO11"/>
  <c r="DF11" s="1"/>
  <c r="DC11"/>
  <c r="DT11" s="1"/>
  <c r="CS11"/>
  <c r="DJ11" s="1"/>
  <c r="CX11"/>
  <c r="DO11" s="1"/>
  <c r="CT11"/>
  <c r="DK11" s="1"/>
  <c r="CZ11"/>
  <c r="DQ11" s="1"/>
  <c r="DB11"/>
  <c r="DS11" s="1"/>
  <c r="CN11"/>
  <c r="DE11" s="1"/>
  <c r="CQ11"/>
  <c r="DH11" s="1"/>
  <c r="DA11"/>
  <c r="DR11" s="1"/>
  <c r="CP11"/>
  <c r="DG11" s="1"/>
  <c r="CR11"/>
  <c r="DI11" s="1"/>
  <c r="CY11"/>
  <c r="DP11" s="1"/>
  <c r="CV11"/>
  <c r="DM11" s="1"/>
  <c r="CW11"/>
  <c r="DN11" s="1"/>
  <c r="CU11"/>
  <c r="DL11" s="1"/>
  <c r="CN12"/>
  <c r="DE12" s="1"/>
  <c r="CX12"/>
  <c r="DO12" s="1"/>
  <c r="CR12"/>
  <c r="DI12" s="1"/>
  <c r="DB12"/>
  <c r="DS12" s="1"/>
  <c r="CV12"/>
  <c r="DM12" s="1"/>
  <c r="CZ12"/>
  <c r="DQ12" s="1"/>
  <c r="CU12"/>
  <c r="DL12" s="1"/>
  <c r="CS12"/>
  <c r="DJ12" s="1"/>
  <c r="DC12"/>
  <c r="DT12" s="1"/>
  <c r="CO12"/>
  <c r="DF12" s="1"/>
  <c r="CY12"/>
  <c r="DP12" s="1"/>
  <c r="CP12"/>
  <c r="DG12" s="1"/>
  <c r="CW12"/>
  <c r="DN12" s="1"/>
  <c r="CQ12"/>
  <c r="DH12" s="1"/>
  <c r="CT12"/>
  <c r="DK12" s="1"/>
  <c r="DA12"/>
  <c r="DR12" s="1"/>
  <c r="CM19"/>
  <c r="CP18"/>
  <c r="DG18" s="1"/>
  <c r="CO18"/>
  <c r="DF18" s="1"/>
  <c r="CS18"/>
  <c r="DJ18" s="1"/>
  <c r="CV18"/>
  <c r="DM18" s="1"/>
  <c r="CQ18"/>
  <c r="DH18" s="1"/>
  <c r="CW18"/>
  <c r="DN18" s="1"/>
  <c r="CN18"/>
  <c r="DE18" s="1"/>
  <c r="DB18"/>
  <c r="DS18" s="1"/>
  <c r="CY18"/>
  <c r="DP18" s="1"/>
  <c r="DC18"/>
  <c r="DT18" s="1"/>
  <c r="CT18"/>
  <c r="DK18" s="1"/>
  <c r="CR18"/>
  <c r="DI18" s="1"/>
  <c r="CX18"/>
  <c r="DO18" s="1"/>
  <c r="CU18"/>
  <c r="DL18" s="1"/>
  <c r="DA18"/>
  <c r="DR18" s="1"/>
  <c r="CZ18"/>
  <c r="DQ18" s="1"/>
  <c r="CN5"/>
  <c r="DE5" s="1"/>
  <c r="CW5"/>
  <c r="DN5" s="1"/>
  <c r="CX5"/>
  <c r="DO5" s="1"/>
  <c r="DC5"/>
  <c r="DT5" s="1"/>
  <c r="CV5"/>
  <c r="DM5" s="1"/>
  <c r="CQ5"/>
  <c r="DH5" s="1"/>
  <c r="CP5"/>
  <c r="DG5" s="1"/>
  <c r="CO5"/>
  <c r="DF5" s="1"/>
  <c r="DB5"/>
  <c r="DS5" s="1"/>
  <c r="CR5"/>
  <c r="DI5" s="1"/>
  <c r="CT5"/>
  <c r="DK5" s="1"/>
  <c r="CY5"/>
  <c r="DP5" s="1"/>
  <c r="CS5"/>
  <c r="DJ5" s="1"/>
  <c r="CU5"/>
  <c r="DL5" s="1"/>
  <c r="DA5"/>
  <c r="DR5" s="1"/>
  <c r="CZ5"/>
  <c r="DQ5" s="1"/>
  <c r="CK20"/>
  <c r="CM20" s="1"/>
  <c r="CE22"/>
  <c r="CK22" s="1"/>
  <c r="CR9"/>
  <c r="DI9" s="1"/>
  <c r="CV9"/>
  <c r="DM9" s="1"/>
  <c r="CQ9"/>
  <c r="DH9" s="1"/>
  <c r="CP9"/>
  <c r="DG9" s="1"/>
  <c r="CN9"/>
  <c r="DE9" s="1"/>
  <c r="CU9"/>
  <c r="DL9" s="1"/>
  <c r="CO9"/>
  <c r="DF9" s="1"/>
  <c r="CX9"/>
  <c r="DO9" s="1"/>
  <c r="CZ9"/>
  <c r="DQ9" s="1"/>
  <c r="CW9"/>
  <c r="DN9" s="1"/>
  <c r="DA9"/>
  <c r="DR9" s="1"/>
  <c r="CS9"/>
  <c r="DJ9" s="1"/>
  <c r="DB9"/>
  <c r="DS9" s="1"/>
  <c r="CT9"/>
  <c r="DK9" s="1"/>
  <c r="CY9"/>
  <c r="DP9" s="1"/>
  <c r="DC9"/>
  <c r="DT9" s="1"/>
  <c r="CN8"/>
  <c r="DE8" s="1"/>
  <c r="CQ8"/>
  <c r="DH8" s="1"/>
  <c r="CV8"/>
  <c r="DM8" s="1"/>
  <c r="CO8"/>
  <c r="DF8" s="1"/>
  <c r="CX8"/>
  <c r="DO8" s="1"/>
  <c r="CU8"/>
  <c r="DL8" s="1"/>
  <c r="DB8"/>
  <c r="DS8" s="1"/>
  <c r="CW8"/>
  <c r="DN8" s="1"/>
  <c r="DC8"/>
  <c r="DT8" s="1"/>
  <c r="CR8"/>
  <c r="DI8" s="1"/>
  <c r="CS8"/>
  <c r="DJ8" s="1"/>
  <c r="CT8"/>
  <c r="DK8" s="1"/>
  <c r="CZ8"/>
  <c r="DQ8" s="1"/>
  <c r="DA8"/>
  <c r="DR8" s="1"/>
  <c r="CY8"/>
  <c r="DP8" s="1"/>
  <c r="CP8"/>
  <c r="DG8" s="1"/>
  <c r="CR7"/>
  <c r="DI7" s="1"/>
  <c r="CU7"/>
  <c r="DL7" s="1"/>
  <c r="DB7"/>
  <c r="DS7" s="1"/>
  <c r="CZ7"/>
  <c r="DQ7" s="1"/>
  <c r="DA7"/>
  <c r="DR7" s="1"/>
  <c r="DC7"/>
  <c r="DT7" s="1"/>
  <c r="CX7"/>
  <c r="DO7" s="1"/>
  <c r="CW7"/>
  <c r="DN7" s="1"/>
  <c r="CN7"/>
  <c r="DE7" s="1"/>
  <c r="CY7"/>
  <c r="DP7" s="1"/>
  <c r="CV7"/>
  <c r="DM7" s="1"/>
  <c r="CO7"/>
  <c r="DF7" s="1"/>
  <c r="CQ7"/>
  <c r="DH7" s="1"/>
  <c r="CS7"/>
  <c r="DJ7" s="1"/>
  <c r="CT7"/>
  <c r="DK7" s="1"/>
  <c r="CP7"/>
  <c r="DG7" s="1"/>
  <c r="CY6"/>
  <c r="DP6" s="1"/>
  <c r="CR6"/>
  <c r="DI6" s="1"/>
  <c r="CO6"/>
  <c r="DF6" s="1"/>
  <c r="CT6"/>
  <c r="DK6" s="1"/>
  <c r="DA6"/>
  <c r="DR6" s="1"/>
  <c r="DB6"/>
  <c r="DS6" s="1"/>
  <c r="CX6"/>
  <c r="DO6" s="1"/>
  <c r="CU6"/>
  <c r="DL6" s="1"/>
  <c r="CN6"/>
  <c r="DE6" s="1"/>
  <c r="CP6"/>
  <c r="DG6" s="1"/>
  <c r="CV6"/>
  <c r="DM6" s="1"/>
  <c r="CW6"/>
  <c r="DN6" s="1"/>
  <c r="CS6"/>
  <c r="DJ6" s="1"/>
  <c r="CQ6"/>
  <c r="DH6" s="1"/>
  <c r="CZ6"/>
  <c r="DQ6" s="1"/>
  <c r="DC6"/>
  <c r="DT6" s="1"/>
  <c r="CN16"/>
  <c r="DE16" s="1"/>
  <c r="CP16"/>
  <c r="DG16" s="1"/>
  <c r="CT16"/>
  <c r="DK16" s="1"/>
  <c r="CR16"/>
  <c r="DI16" s="1"/>
  <c r="DB16"/>
  <c r="DS16" s="1"/>
  <c r="CQ16"/>
  <c r="DH16" s="1"/>
  <c r="CW16"/>
  <c r="DN16" s="1"/>
  <c r="CS16"/>
  <c r="DJ16" s="1"/>
  <c r="DA16"/>
  <c r="DR16" s="1"/>
  <c r="DC16"/>
  <c r="DT16" s="1"/>
  <c r="CY16"/>
  <c r="DP16" s="1"/>
  <c r="CO16"/>
  <c r="DF16" s="1"/>
  <c r="CX16"/>
  <c r="DO16" s="1"/>
  <c r="CV16"/>
  <c r="DM16" s="1"/>
  <c r="CZ16"/>
  <c r="DQ16" s="1"/>
  <c r="CU16"/>
  <c r="DL16" s="1"/>
  <c r="CQ19" l="1"/>
  <c r="DH19" s="1"/>
  <c r="DA19"/>
  <c r="DR19" s="1"/>
  <c r="DB19"/>
  <c r="DS19" s="1"/>
  <c r="CV19"/>
  <c r="DM19" s="1"/>
  <c r="DC19"/>
  <c r="DT19" s="1"/>
  <c r="CW19"/>
  <c r="DN19" s="1"/>
  <c r="CN19"/>
  <c r="DE19" s="1"/>
  <c r="CO19"/>
  <c r="DF19" s="1"/>
  <c r="CP19"/>
  <c r="DG19" s="1"/>
  <c r="CT19"/>
  <c r="DK19" s="1"/>
  <c r="CU19"/>
  <c r="DL19" s="1"/>
  <c r="CR19"/>
  <c r="DI19" s="1"/>
  <c r="CS19"/>
  <c r="DJ19" s="1"/>
  <c r="CZ19"/>
  <c r="DQ19" s="1"/>
  <c r="CY19"/>
  <c r="DP19" s="1"/>
  <c r="CX19"/>
  <c r="DO19" s="1"/>
  <c r="CN20"/>
  <c r="DE20" s="1"/>
  <c r="DB20"/>
  <c r="DS20" s="1"/>
  <c r="CY20"/>
  <c r="DP20" s="1"/>
  <c r="CQ20"/>
  <c r="DH20" s="1"/>
  <c r="CX20"/>
  <c r="DO20" s="1"/>
  <c r="CV20"/>
  <c r="DM20" s="1"/>
  <c r="DA20"/>
  <c r="DR20" s="1"/>
  <c r="CW20"/>
  <c r="DN20" s="1"/>
  <c r="DC20"/>
  <c r="DT20" s="1"/>
  <c r="CT20"/>
  <c r="DK20" s="1"/>
  <c r="CU20"/>
  <c r="DL20" s="1"/>
  <c r="CR20"/>
  <c r="DI20" s="1"/>
  <c r="CS20"/>
  <c r="DJ20" s="1"/>
  <c r="CZ20"/>
  <c r="DQ20" s="1"/>
  <c r="CO20"/>
  <c r="DF20" s="1"/>
  <c r="CP20"/>
  <c r="DG20" s="1"/>
</calcChain>
</file>

<file path=xl/sharedStrings.xml><?xml version="1.0" encoding="utf-8"?>
<sst xmlns="http://schemas.openxmlformats.org/spreadsheetml/2006/main" count="3937" uniqueCount="301">
  <si>
    <t>,</t>
  </si>
  <si>
    <t xml:space="preserve"> 0x</t>
  </si>
  <si>
    <t xml:space="preserve">     //  </t>
  </si>
  <si>
    <t>шестн</t>
  </si>
  <si>
    <t>десятч</t>
  </si>
  <si>
    <t>проб</t>
  </si>
  <si>
    <t>Н</t>
  </si>
  <si>
    <t>У</t>
  </si>
  <si>
    <t>ххх</t>
  </si>
  <si>
    <t>/*</t>
  </si>
  <si>
    <t xml:space="preserve">*/   </t>
  </si>
  <si>
    <t>.</t>
  </si>
  <si>
    <t>оригинал шестнацатиричный</t>
  </si>
  <si>
    <t>вставить (специальная вставка-значения)</t>
  </si>
  <si>
    <t>номер</t>
  </si>
  <si>
    <t>имя</t>
  </si>
  <si>
    <t>РЕДАКТОР СИМВОЛА</t>
  </si>
  <si>
    <t>пишем</t>
  </si>
  <si>
    <t>сами</t>
  </si>
  <si>
    <t>ОРИГИНАЛ</t>
  </si>
  <si>
    <t>3.</t>
  </si>
  <si>
    <t>результат</t>
  </si>
  <si>
    <t>…</t>
  </si>
  <si>
    <t>1.вставить строку символа для раскрытия</t>
  </si>
  <si>
    <t>2.копируем область, и вставляем значения в левый редактор</t>
  </si>
  <si>
    <t>4.</t>
  </si>
  <si>
    <t>5.новый результат в десятичном выражении</t>
  </si>
  <si>
    <t>0x04, 0x00, 0x00, 0x00, 0x00, 0x00, 0x00, 0x00, 0x00, 0x00, 0x00, 0x00, 0x00, 0x00, 0x00, 0x00, 0x00, 0x00, 0x00, 0x00, 0x00, 0x00, 0x00, 0x00, 0x00, 0x00, 0x00, 0x00, 0x00, 0x00, 0x00, 0x00, 0x00,</t>
  </si>
  <si>
    <t xml:space="preserve">  // char 32</t>
  </si>
  <si>
    <t>0x03, 0xe0, 0x00, 0xe0, 0x00, 0xe0, 0x00, 0xe0, 0x00, 0xe0, 0x00, 0xe0, 0x00, 0xe0, 0x00, 0xe0, 0x00, 0xe0, 0x00, 0xe0, 0x00, 0xe0, 0x00, 0xe0, 0x00, 0x00, 0x00, 0xe0, 0x00, 0xe0, 0x00, 0xe0, 0x00,</t>
  </si>
  <si>
    <t xml:space="preserve">  // char 33: !</t>
  </si>
  <si>
    <t>0x08, 0xe7, 0x00, 0xe7, 0x00, 0xe7, 0x00, 0xe7, 0x00, 0xe7, 0x00, 0x00, 0x00, 0x00, 0x00, 0x00, 0x00, 0x00, 0x00, 0x00, 0x00, 0x00, 0x00, 0x00, 0x00, 0x00, 0x00, 0x00, 0x00, 0x00, 0x00, 0x00, 0x00,</t>
  </si>
  <si>
    <t xml:space="preserve">  // char 34: "</t>
  </si>
  <si>
    <t>0x0c, 0x39, 0xc0, 0x39, 0xc0, 0x39, 0xc0, 0xff, 0xf0, 0xff, 0xf0, 0x39, 0xc0, 0x39, 0xc0, 0x39, 0xc0, 0x39, 0xc0, 0x39, 0xc0, 0x39, 0xc0, 0xff, 0xf0, 0xff, 0xf0, 0x39, 0xc0, 0x39, 0xc0, 0x39, 0xc0,</t>
  </si>
  <si>
    <t xml:space="preserve">  // char 35: #</t>
  </si>
  <si>
    <t>0x0b, 0x0e, 0x00, 0x0e, 0x00, 0x7f, 0xc0, 0xff, 0xe0, 0xee, 0xe0, 0xee, 0x00, 0xee, 0x00, 0xff, 0xc0, 0x7f, 0xe0, 0x0e, 0xe0, 0x0e, 0xe0, 0xee, 0xe0, 0xff, 0xe0, 0x7f, 0xc0, 0x0e, 0x00, 0x0e, 0x00,</t>
  </si>
  <si>
    <t xml:space="preserve">  // char 36: $</t>
  </si>
  <si>
    <t>0x0c, 0x70, 0xe0, 0xf8, 0xe0, 0xd9, 0xc0, 0xf9, 0xc0, 0x73, 0x80, 0x03, 0x80, 0x07, 0x00, 0x07, 0x00, 0x0e, 0x00, 0x0e, 0x00, 0x1c, 0x00, 0x1c, 0xe0, 0x39, 0xf0, 0x39, 0xb0, 0x71, 0xf0, 0x70, 0xe0,</t>
  </si>
  <si>
    <t xml:space="preserve">  // char 37: %</t>
  </si>
  <si>
    <t>0x0c, 0x1e, 0x00, 0x3f, 0x00, 0x73, 0x80, 0x73, 0x80, 0x73, 0x80, 0x73, 0x80, 0x33, 0x80, 0x3f, 0x00, 0x7e, 0x00, 0xee, 0x30, 0xe7, 0x70, 0xe3, 0xe0, 0xe1, 0xc0, 0xe3, 0xe0, 0xff, 0x70, 0x7e, 0x30,</t>
  </si>
  <si>
    <t xml:space="preserve">  // char 38: &amp;</t>
  </si>
  <si>
    <t>0x03, 0xe0, 0x00, 0xe0, 0x00, 0xe0, 0x00, 0xe0, 0x00, 0xe0, 0x00, 0x00, 0x00, 0x00, 0x00, 0x00, 0x00, 0x00, 0x00, 0x00, 0x00, 0x00, 0x00, 0x00, 0x00, 0x00, 0x00, 0x00, 0x00, 0x00, 0x00, 0x00, 0x00,</t>
  </si>
  <si>
    <t xml:space="preserve">  // char 39: '</t>
  </si>
  <si>
    <t>0x05, 0x38, 0x00, 0x78, 0x00, 0xf0, 0x00, 0xe0, 0x00, 0xe0, 0x00, 0xe0, 0x00, 0xe0, 0x00, 0xe0, 0x00, 0xe0, 0x00, 0xe0, 0x00, 0xe0, 0x00, 0xe0, 0x00, 0xe0, 0x00, 0xf0, 0x00, 0x78, 0x00, 0x38, 0x00,</t>
  </si>
  <si>
    <t xml:space="preserve">  // char 40: (</t>
  </si>
  <si>
    <t>0x05, 0xe0, 0x00, 0xf0, 0x00, 0x78, 0x00, 0x38, 0x00, 0x38, 0x00, 0x38, 0x00, 0x38, 0x00, 0x38, 0x00, 0x38, 0x00, 0x38, 0x00, 0x38, 0x00, 0x38, 0x00, 0x38, 0x00, 0x78, 0x00, 0xf0, 0x00, 0xe0, 0x00,</t>
  </si>
  <si>
    <t xml:space="preserve">  // char 41: )</t>
  </si>
  <si>
    <t>0x09, 0x00, 0x00, 0x00, 0x00, 0x00, 0x00, 0x63, 0x00, 0x77, 0x00, 0x3e, 0x00, 0x1c, 0x00, 0xff, 0x80, 0xff, 0x80, 0x1c, 0x00, 0x3e, 0x00, 0x77, 0x00, 0x63, 0x00, 0x00, 0x00, 0x00, 0x00, 0x00, 0x00,</t>
  </si>
  <si>
    <t xml:space="preserve">  // char 42: *</t>
  </si>
  <si>
    <t>0x09, 0x00, 0x00, 0x00, 0x00, 0x00, 0x00, 0x00, 0x00, 0x1c, 0x00, 0x1c, 0x00, 0x1c, 0x00, 0xff, 0x80, 0xff, 0x80, 0x1c, 0x00, 0x1c, 0x00, 0x1c, 0x00, 0x00, 0x00, 0x00, 0x00, 0x00, 0x00, 0x00, 0x00,</t>
  </si>
  <si>
    <t xml:space="preserve">  // char 43: +</t>
  </si>
  <si>
    <t>0x03, 0x00, 0x00, 0x00, 0x00, 0x00, 0x00, 0x00, 0x00, 0x00, 0x00, 0x00, 0x00, 0x00, 0x00, 0x00, 0x00, 0x00, 0x00, 0x00, 0x00, 0x00, 0x00, 0x00, 0x00, 0xe0, 0x00, 0xe0, 0x00, 0x60, 0x00, 0xe0, 0x00,</t>
  </si>
  <si>
    <t xml:space="preserve">  // char 44: ,</t>
  </si>
  <si>
    <t>0x09, 0x00, 0x00, 0x00, 0x00, 0x00, 0x00, 0x00, 0x00, 0x00, 0x00, 0x00, 0x00, 0x00, 0x00, 0xff, 0x80, 0xff, 0x80, 0x00, 0x00, 0x00, 0x00, 0x00, 0x00, 0x00, 0x00, 0x00, 0x00, 0x00, 0x00, 0x00, 0x00,</t>
  </si>
  <si>
    <t xml:space="preserve">  // char 45: -</t>
  </si>
  <si>
    <t>0x03, 0x00, 0x00, 0x00, 0x00, 0x00, 0x00, 0x00, 0x00, 0x00, 0x00, 0x00, 0x00, 0x00, 0x00, 0x00, 0x00, 0x00, 0x00, 0x00, 0x00, 0x00, 0x00, 0x00, 0x00, 0x00, 0x00, 0xe0, 0x00, 0xe0, 0x00, 0xe0, 0x00,</t>
  </si>
  <si>
    <t xml:space="preserve">  // char 46: .</t>
  </si>
  <si>
    <t>0x05, 0x38, 0x00, 0x38, 0x00, 0x38, 0x00, 0x38, 0x00, 0x38, 0x00, 0x70, 0x00, 0x70, 0x00, 0x70, 0x00, 0x70, 0x00, 0x70, 0x00, 0x70, 0x00, 0xe0, 0x00, 0xe0, 0x00, 0xe0, 0x00, 0xe0, 0x00, 0xe0, 0x00,</t>
  </si>
  <si>
    <t xml:space="preserve">  // char 47: /</t>
  </si>
  <si>
    <t>0x0c, 0x3f, 0xc0, 0x7f, 0xe0, 0xf0, 0xf0, 0xe0, 0x70, 0xe0, 0x70, 0xe0, 0x70, 0xe0, 0x70, 0xe0, 0x70, 0xe0, 0x70, 0xe0, 0x70, 0xe0, 0x70, 0xe0, 0x70, 0xe0, 0x70, 0xf0, 0xf0, 0x7f, 0xe0, 0x3f, 0xc0,</t>
  </si>
  <si>
    <t xml:space="preserve">  // char 48: 0</t>
  </si>
  <si>
    <t>0x09, 0x1c, 0x00, 0x3c, 0x00, 0x7c, 0x00, 0xfc, 0x00, 0xdc, 0x00, 0x1c, 0x00, 0x1c, 0x00, 0x1c, 0x00, 0x1c, 0x00, 0x1c, 0x00, 0x1c, 0x00, 0x1c, 0x00, 0x1c, 0x00, 0x1c, 0x00, 0xff, 0x80, 0xff, 0x80,</t>
  </si>
  <si>
    <t xml:space="preserve">  // char 49: 1</t>
  </si>
  <si>
    <t>0x0c, 0x3f, 0xc0, 0x7f, 0xe0, 0xf0, 0xf0, 0xe0, 0x70, 0xe0, 0x70, 0x00, 0xf0, 0x01, 0xe0, 0x03, 0xc0, 0x07, 0x80, 0x0f, 0x00, 0x1e, 0x00, 0x3c, 0x00, 0x78, 0x00, 0xf0, 0x70, 0xff, 0xf0, 0xff, 0xf0,</t>
  </si>
  <si>
    <t xml:space="preserve">  // char 50: 2</t>
  </si>
  <si>
    <t>0x0c, 0xff, 0xf0, 0xff, 0xf0, 0xe0, 0x70, 0x00, 0xe0, 0x01, 0xc0, 0x03, 0x80, 0x07, 0x00, 0x0f, 0xf0, 0x0f, 0xf0, 0x00, 0x70, 0x00, 0x70, 0x00, 0x70, 0xe0, 0x70, 0xf0, 0xf0, 0x7f, 0xe0, 0x3f, 0xc0,</t>
  </si>
  <si>
    <t xml:space="preserve">  // char 51: 3</t>
  </si>
  <si>
    <t>0x0c, 0x03, 0x80, 0x07, 0x80, 0x07, 0x80, 0x0f, 0x80, 0x1f, 0x80, 0x3b, 0x80, 0x3b, 0x80, 0x73, 0x80, 0xe3, 0x80, 0xe3, 0x80, 0xff, 0xf0, 0xff, 0xf0, 0x03, 0x80, 0x03, 0x80, 0x03, 0x80, 0x03, 0x80,</t>
  </si>
  <si>
    <t xml:space="preserve">  // char 52: 4</t>
  </si>
  <si>
    <t>0x0c, 0xff, 0xf0, 0xff, 0xf0, 0xe0, 0x70, 0xe0, 0x00, 0xe0, 0x00, 0xe0, 0x00, 0xe0, 0x00, 0xff, 0xc0, 0xff, 0xe0, 0x00, 0xf0, 0x00, 0x70, 0x00, 0x70, 0xe0, 0x70, 0xf0, 0xf0, 0x7f, 0xe0, 0x3f, 0xc0,</t>
  </si>
  <si>
    <t xml:space="preserve">  // char 53: 5</t>
  </si>
  <si>
    <t>0x0c, 0x3f, 0xc0, 0x7f, 0xe0, 0xf0, 0xf0, 0xe0, 0x70, 0xe0, 0x00, 0xe0, 0x00, 0xe0, 0x00, 0xff, 0xc0, 0xff, 0xe0, 0xf0, 0xf0, 0xe0, 0x70, 0xe0, 0x70, 0xe0, 0x70, 0xf0, 0xf0, 0x7f, 0xe0, 0x3f, 0xc0,</t>
  </si>
  <si>
    <t xml:space="preserve">  // char 54: 6</t>
  </si>
  <si>
    <t>0x0c, 0xff, 0xf0, 0xff, 0xf0, 0xe0, 0x70, 0x00, 0x70, 0x00, 0xe0, 0x01, 0xc0, 0x03, 0x80, 0x07, 0x00, 0x0e, 0x00, 0x0e, 0x00, 0x1c, 0x00, 0x1c, 0x00, 0x1c, 0x00, 0x1c, 0x00, 0x1c, 0x00, 0x1c, 0x00,</t>
  </si>
  <si>
    <t xml:space="preserve">  // char 55: 7</t>
  </si>
  <si>
    <t>0x0c, 0x1f, 0x80, 0x3f, 0xc0, 0x79, 0xe0, 0x70, 0xe0, 0x70, 0xe0, 0x70, 0xe0, 0x39, 0xc0, 0x3f, 0xc0, 0x7f, 0xe0, 0xf0, 0xf0, 0xe0, 0x70, 0xe0, 0x70, 0xe0, 0x70, 0xf0, 0xf0, 0x7f, 0xe0, 0x3f, 0xc0,</t>
  </si>
  <si>
    <t xml:space="preserve">  // char 56: 8</t>
  </si>
  <si>
    <t>0x0c, 0x3f, 0xc0, 0x7f, 0xe0, 0xf0, 0xf0, 0xe0, 0x70, 0xe0, 0x70, 0xe0, 0x70, 0xf0, 0xf0, 0x7f, 0xf0, 0x3f, 0xf0, 0x00, 0x70, 0x00, 0x70, 0x00, 0x70, 0xe0, 0x70, 0xf0, 0xf0, 0x7f, 0xe0, 0x3f, 0xc0,</t>
  </si>
  <si>
    <t xml:space="preserve">  // char 57: 9</t>
  </si>
  <si>
    <t>0x03, 0x00, 0x00, 0x00, 0x00, 0x00, 0x00, 0x00, 0x00, 0x00, 0x00, 0xe0, 0x00, 0xe0, 0x00, 0xe0, 0x00, 0x00, 0x00, 0x00, 0x00, 0x00, 0x00, 0x00, 0x00, 0xe0, 0x00, 0xe0, 0x00, 0xe0, 0x00, 0x00, 0x00,</t>
  </si>
  <si>
    <t xml:space="preserve">  // char 58: :</t>
  </si>
  <si>
    <t>0x03, 0x00, 0x00, 0x00, 0x00, 0x00, 0x00, 0x00, 0x00, 0x00, 0x00, 0xe0, 0x00, 0xe0, 0x00, 0xe0, 0x00, 0x00, 0x00, 0x00, 0x00, 0x00, 0x00, 0x00, 0x00, 0xe0, 0x00, 0xe0, 0x00, 0x60, 0x00, 0xe0, 0x00,</t>
  </si>
  <si>
    <t xml:space="preserve">  // char 59: ;</t>
  </si>
  <si>
    <t>0x08, 0x00, 0x00, 0x03, 0x00, 0x07, 0x00, 0x0e, 0x00, 0x1c, 0x00, 0x38, 0x00, 0x70, 0x00, 0xe0, 0x00, 0xe0, 0x00, 0x70, 0x00, 0x38, 0x00, 0x1c, 0x00, 0x0e, 0x00, 0x07, 0x00, 0x03, 0x00, 0x00, 0x00,</t>
  </si>
  <si>
    <t xml:space="preserve">  // char 60: &lt;</t>
  </si>
  <si>
    <t>0x09, 0x00, 0x00, 0x00, 0x00, 0x00, 0x00, 0x00, 0x00, 0xff, 0x80, 0xff, 0x80, 0x00, 0x00, 0x00, 0x00, 0x00, 0x00, 0x00, 0x00, 0xff, 0x80, 0xff, 0x80, 0x00, 0x00, 0x00, 0x00, 0x00, 0x00, 0x00, 0x00,</t>
  </si>
  <si>
    <t xml:space="preserve">  // char 61: =</t>
  </si>
  <si>
    <t>0x08, 0x00, 0x00, 0xc0, 0x00, 0xe0, 0x00, 0x70, 0x00, 0x38, 0x00, 0x1c, 0x00, 0x0e, 0x00, 0x07, 0x00, 0x07, 0x00, 0x0e, 0x00, 0x1c, 0x00, 0x38, 0x00, 0x70, 0x00, 0xe0, 0x00, 0xc0, 0x00, 0x00, 0x00,</t>
  </si>
  <si>
    <t xml:space="preserve">  // char 62: &gt;</t>
  </si>
  <si>
    <t>0x0b, 0x3f, 0x80, 0x7f, 0xc0, 0xf1, 0xe0, 0xe0, 0xe0, 0xe0, 0xe0, 0x01, 0xe0, 0x03, 0xc0, 0x07, 0x80, 0x0f, 0x00, 0x0e, 0x00, 0x0e, 0x00, 0x00, 0x00, 0x00, 0x00, 0x0e, 0x00, 0x0e, 0x00, 0x0e, 0x00,</t>
  </si>
  <si>
    <t xml:space="preserve">  // char 63: ?</t>
  </si>
  <si>
    <t>0x0c, 0x3f, 0xc0, 0x7f, 0xe0, 0xf0, 0xf0, 0xe0, 0x70, 0xe0, 0x70, 0xe5, 0x70, 0xef, 0x70, 0xeb, 0x70, 0xeb, 0x70, 0xef, 0xf0, 0xef, 0xe0, 0xe7, 0x80, 0xe0, 0x00, 0xf0, 0x70, 0x7f, 0xe0, 0x3f, 0xc0,</t>
  </si>
  <si>
    <t xml:space="preserve">  // char 64: @</t>
  </si>
  <si>
    <t>0x0c, 0x3f, 0xc0, 0x7f, 0xe0, 0xe0, 0x70, 0xe0, 0x70, 0xe0, 0x70, 0xe0, 0x70, 0xe0, 0x70, 0xff, 0xf0, 0xff, 0xf0, 0xe0, 0x70, 0xe0, 0x70, 0xe0, 0x70, 0xe0, 0x70, 0xe0, 0x70, 0xe0, 0x70, 0xe0, 0x70,</t>
  </si>
  <si>
    <t xml:space="preserve">  // char 65: A</t>
  </si>
  <si>
    <t>0x0c, 0xff, 0x80, 0xff, 0xc0, 0x71, 0xe0, 0x70, 0xe0, 0x70, 0xe0, 0x70, 0xe0, 0x71, 0xc0, 0x7f, 0xc0, 0x7f, 0xc0, 0x70, 0xe0, 0x70, 0x70, 0x70, 0x70, 0x70, 0x70, 0x70, 0xf0, 0xff, 0xe0, 0xff, 0xc0,</t>
  </si>
  <si>
    <t xml:space="preserve">  // char 66: B</t>
  </si>
  <si>
    <t>0x0c, 0x3f, 0xc0, 0x7f, 0xe0, 0xf0, 0xf0, 0xe0, 0x70, 0xe0, 0x00, 0xe0, 0x00, 0xe0, 0x00, 0xe0, 0x00, 0xe0, 0x00, 0xe0, 0x00, 0xe0, 0x00, 0xe0, 0x00, 0xe0, 0x70, 0xf0, 0xf0, 0x7f, 0xe0, 0x3f, 0xc0,</t>
  </si>
  <si>
    <t xml:space="preserve">  // char 67: C</t>
  </si>
  <si>
    <t>0x0c, 0xff, 0xc0, 0xff, 0xe0, 0x70, 0xf0, 0x70, 0x70, 0x70, 0x70, 0x70, 0x70, 0x70, 0x70, 0x70, 0x70, 0x70, 0x70, 0x70, 0x70, 0x70, 0x70, 0x70, 0x70, 0x70, 0x70, 0x70, 0xf0, 0xff, 0xe0, 0xff, 0xc0,</t>
  </si>
  <si>
    <t xml:space="preserve">  // char 68: D</t>
  </si>
  <si>
    <t>0x0c, 0xff, 0xf0, 0xff, 0xf0, 0x70, 0x70, 0x70, 0x00, 0x70, 0x00, 0x70, 0x00, 0x70, 0x00, 0x7f, 0x00, 0x7f, 0x00, 0x70, 0x00, 0x70, 0x00, 0x70, 0x00, 0x70, 0x00, 0x70, 0x70, 0xff, 0xf0, 0xff, 0xf0,</t>
  </si>
  <si>
    <t xml:space="preserve">  // char 69: E</t>
  </si>
  <si>
    <t>0x0c, 0xff, 0xf0, 0xff, 0xf0, 0x70, 0x70, 0x70, 0x00, 0x70, 0x00, 0x70, 0x00, 0x70, 0x00, 0x7f, 0x00, 0x7f, 0x00, 0x70, 0x00, 0x70, 0x00, 0x70, 0x00, 0x70, 0x00, 0x70, 0x00, 0x70, 0x00, 0x70, 0x00,</t>
  </si>
  <si>
    <t xml:space="preserve">  // char 70: F</t>
  </si>
  <si>
    <t>0x0c, 0x3f, 0xc0, 0x7f, 0xe0, 0xf0, 0xf0, 0xe0, 0x70, 0xe0, 0x00, 0xe0, 0x00, 0xe0, 0x00, 0xe7, 0xf0, 0xe7, 0xf0, 0xe0, 0x70, 0xe0, 0x70, 0xe0, 0x70, 0xe0, 0x70, 0xf0, 0xf0, 0x7f, 0xe0, 0x3f, 0xc0,</t>
  </si>
  <si>
    <t xml:space="preserve">  // char 71: G</t>
  </si>
  <si>
    <t>0x0c, 0xe0, 0x70, 0xe0, 0x70, 0xe0, 0x70, 0xe0, 0x70, 0xe0, 0x70, 0xe0, 0x70, 0xe0, 0x70, 0xff, 0xf0, 0xff, 0xf0, 0xe0, 0x70, 0xe0, 0x70, 0xe0, 0x70, 0xe0, 0x70, 0xe0, 0x70, 0xe0, 0x70, 0xe0, 0x70,</t>
  </si>
  <si>
    <t xml:space="preserve">  // char 72: H</t>
  </si>
  <si>
    <t>0x07, 0xfe, 0x00, 0xfe, 0x00, 0x38, 0x00, 0x38, 0x00, 0x38, 0x00, 0x38, 0x00, 0x38, 0x00, 0x38, 0x00, 0x38, 0x00, 0x38, 0x00, 0x38, 0x00, 0x38, 0x00, 0x38, 0x00, 0x38, 0x00, 0xfe, 0x00, 0xfe, 0x00,</t>
  </si>
  <si>
    <t xml:space="preserve">  // char 73: I</t>
  </si>
  <si>
    <t>0x0c, 0x07, 0xf0, 0x07, 0xf0, 0x01, 0xc0, 0x01, 0xc0, 0x01, 0xc0, 0x01, 0xc0, 0x01, 0xc0, 0x01, 0xc0, 0x01, 0xc0, 0x01, 0xc0, 0x01, 0xc0, 0xe1, 0xc0, 0xe1, 0xc0, 0xf3, 0xc0, 0x7f, 0x80, 0x3f, 0x00,</t>
  </si>
  <si>
    <t xml:space="preserve">  // char 74: J</t>
  </si>
  <si>
    <t>0x0c, 0xf0, 0x70, 0xf0, 0x70, 0x70, 0x70, 0x70, 0xe0, 0x71, 0xc0, 0x73, 0x80, 0x77, 0x00, 0x7e, 0x00, 0x7e, 0x00, 0x77, 0x00, 0x73, 0x80, 0x71, 0xc0, 0x70, 0xe0, 0x70, 0x70, 0xf0, 0x70, 0xf0, 0x70,</t>
  </si>
  <si>
    <t xml:space="preserve">  // char 75: K</t>
  </si>
  <si>
    <t>0x0a, 0xe0, 0x00, 0xe0, 0x00, 0xe0, 0x00, 0xe0, 0x00, 0xe0, 0x00, 0xe0, 0x00, 0xe0, 0x00, 0xe0, 0x00, 0xe0, 0x00, 0xe0, 0x00, 0xe0, 0x00, 0xe0, 0x00, 0xe0, 0x00, 0xe1, 0xc0, 0xff, 0xc0, 0xff, 0xc0,</t>
  </si>
  <si>
    <t xml:space="preserve">  // char 76: L</t>
  </si>
  <si>
    <t>0x0b, 0xe0, 0xe0, 0xe0, 0xe0, 0xf1, 0xe0, 0xf1, 0xe0, 0xfb, 0xe0, 0xff, 0xe0, 0xff, 0xe0, 0xee, 0xe0, 0xee, 0xe0, 0xe4, 0xe0, 0xe0, 0xe0, 0xe0, 0xe0, 0xe0, 0xe0, 0xe0, 0xe0, 0xe0, 0xe0, 0xe0, 0xe0,</t>
  </si>
  <si>
    <t xml:space="preserve">  // char 77: M</t>
  </si>
  <si>
    <t>0x0b, 0xe0, 0xe0, 0xe0, 0xe0, 0xf0, 0xe0, 0xf0, 0xe0, 0xf8, 0xe0, 0xf8, 0xe0, 0xec, 0xe0, 0xec, 0xe0, 0xe6, 0xe0, 0xe6, 0xe0, 0xe3, 0xe0, 0xe3, 0xe0, 0xe1, 0xe0, 0xe1, 0xe0, 0xe0, 0xe0, 0xe0, 0xe0,</t>
  </si>
  <si>
    <t xml:space="preserve">  // char 78: N</t>
  </si>
  <si>
    <t xml:space="preserve">  // char 79: O</t>
  </si>
  <si>
    <t>0x0c, 0xff, 0xc0, 0xff, 0xe0, 0x70, 0xf0, 0x70, 0x70, 0x70, 0x70, 0x70, 0x70, 0x70, 0xf0, 0x7f, 0xe0, 0x7f, 0xc0, 0x70, 0x00, 0x70, 0x00, 0x70, 0x00, 0x70, 0x00, 0x70, 0x00, 0x70, 0x00, 0x70, 0x00,</t>
  </si>
  <si>
    <t xml:space="preserve">  // char 80: P</t>
  </si>
  <si>
    <t>0x0c, 0x3f, 0xc0, 0x7f, 0xe0, 0xf0, 0xf0, 0xe0, 0x70, 0xe0, 0x70, 0xe0, 0x70, 0xe0, 0x70, 0xe0, 0x70, 0xe0, 0x70, 0xe6, 0x70, 0xe7, 0x70, 0xe3, 0xf0, 0xe1, 0xe0, 0xf3, 0xe0, 0x7f, 0xf0, 0x3f, 0xb0,</t>
  </si>
  <si>
    <t xml:space="preserve">  // char 81: Q</t>
  </si>
  <si>
    <t>0x0c, 0xff, 0xc0, 0xff, 0xe0, 0x70, 0xf0, 0x70, 0x70, 0x70, 0x70, 0x70, 0x70, 0x70, 0xf0, 0x7f, 0xe0, 0x7f, 0xc0, 0x7f, 0x00, 0x77, 0x80, 0x73, 0xc0, 0x71, 0xe0, 0x70, 0xf0, 0x70, 0x70, 0x70, 0x70,</t>
  </si>
  <si>
    <t xml:space="preserve">  // char 82: R</t>
  </si>
  <si>
    <t>0x0c, 0x3f, 0xc0, 0x7f, 0xe0, 0xf0, 0xf0, 0xe0, 0x70, 0xe0, 0x70, 0xe0, 0x00, 0xf0, 0x00, 0x7f, 0xc0, 0x3f, 0xe0, 0x00, 0xf0, 0x00, 0x70, 0xe0, 0x70, 0xe0, 0x70, 0xf0, 0xf0, 0x7f, 0xe0, 0x3f, 0xc0,</t>
  </si>
  <si>
    <t xml:space="preserve">  // char 83: S</t>
  </si>
  <si>
    <t>0x0b, 0xff, 0xe0, 0xff, 0xe0, 0xee, 0xe0, 0x0e, 0x00, 0x0e, 0x00, 0x0e, 0x00, 0x0e, 0x00, 0x0e, 0x00, 0x0e, 0x00, 0x0e, 0x00, 0x0e, 0x00, 0x0e, 0x00, 0x0e, 0x00, 0x0e, 0x00, 0x0e, 0x00, 0x0e, 0x00,</t>
  </si>
  <si>
    <t xml:space="preserve">  // char 84: T</t>
  </si>
  <si>
    <t>0x0c, 0xe0, 0x70, 0xe0, 0x70, 0xe0, 0x70, 0xe0, 0x70, 0xe0, 0x70, 0xe0, 0x70, 0xe0, 0x70, 0xe0, 0x70, 0xe0, 0x70, 0xe0, 0x70, 0xe0, 0x70, 0xe0, 0x70, 0xe0, 0x70, 0xf0, 0xf0, 0x7f, 0xe0, 0x3f, 0xc0,</t>
  </si>
  <si>
    <t xml:space="preserve">  // char 85: U</t>
  </si>
  <si>
    <t>0x0c, 0xe0, 0x70, 0xe0, 0x70, 0xe0, 0x70, 0xe0, 0x70, 0xe0, 0x70, 0xe0, 0x70, 0xe0, 0x70, 0x70, 0xe0, 0x70, 0xe0, 0x39, 0xc0, 0x39, 0xc0, 0x1f, 0x80, 0x1f, 0x80, 0x0f, 0x00, 0x0f, 0x00, 0x06, 0x00,</t>
  </si>
  <si>
    <t xml:space="preserve">  // char 86: V</t>
  </si>
  <si>
    <t>0x0c, 0xe0, 0x70, 0xe0, 0x70, 0xe0, 0x70, 0xe0, 0x70, 0xe0, 0x70, 0xe0, 0x70, 0xe0, 0x70, 0xe6, 0x70, 0xe6, 0x70, 0xef, 0x70, 0x6f, 0x60, 0x7f, 0xe0, 0x7f, 0xe0, 0x79, 0xe0, 0x30, 0xc0, 0x30, 0xc0,</t>
  </si>
  <si>
    <t xml:space="preserve">  // char 87: W</t>
  </si>
  <si>
    <t>0x0c, 0xf9, 0xf0, 0xf9, 0xf0, 0x70, 0xe0, 0x70, 0xe0, 0x39, 0xc0, 0x39, 0xc0, 0x1f, 0x80, 0x0f, 0x00, 0x0f, 0x00, 0x1f, 0x80, 0x39, 0xc0, 0x39, 0xc0, 0x70, 0xe0, 0x70, 0xe0, 0xf9, 0xf0, 0xf9, 0xf0,</t>
  </si>
  <si>
    <t xml:space="preserve">  // char 88: X</t>
  </si>
  <si>
    <t>0x0b, 0xe0, 0xe0, 0xe0, 0xe0, 0xe0, 0xe0, 0xe0, 0xe0, 0xe0, 0xe0, 0x71, 0xc0, 0x3b, 0x80, 0x1f, 0x00, 0x0e, 0x00, 0x0e, 0x00, 0x0e, 0x00, 0x0e, 0x00, 0x0e, 0x00, 0x0e, 0x00, 0x0e, 0x00, 0x0e, 0x00,</t>
  </si>
  <si>
    <t xml:space="preserve">  // char 89: Y</t>
  </si>
  <si>
    <t>0x0c, 0xff, 0xf0, 0xff, 0xf0, 0xe0, 0x70, 0x00, 0x70, 0x00, 0xe0, 0x01, 0xc0, 0x03, 0x80, 0x07, 0x00, 0x0e, 0x00, 0x1c, 0x00, 0x38, 0x00, 0x70, 0x00, 0xe0, 0x00, 0xe0, 0x70, 0xff, 0xf0, 0xff, 0xf0,</t>
  </si>
  <si>
    <t xml:space="preserve">  // char 90: Z</t>
  </si>
  <si>
    <t>0x06, 0xfc, 0x00, 0xfc, 0x00, 0xe0, 0x00, 0xe0, 0x00, 0xe0, 0x00, 0xe0, 0x00, 0xe0, 0x00, 0xe0, 0x00, 0xe0, 0x00, 0xe0, 0x00, 0xe0, 0x00, 0xe0, 0x00, 0xe0, 0x00, 0xe0, 0x00, 0xfc, 0x00, 0xfc, 0x00,</t>
  </si>
  <si>
    <t xml:space="preserve">  // char 91: [</t>
  </si>
  <si>
    <t xml:space="preserve">  // char 92: backslash</t>
  </si>
  <si>
    <t>0x06, 0xfc, 0x00, 0xfc, 0x00, 0x1c, 0x00, 0x1c, 0x00, 0x1c, 0x00, 0x1c, 0x00, 0x1c, 0x00, 0x1c, 0x00, 0x1c, 0x00, 0x1c, 0x00, 0x1c, 0x00, 0x1c, 0x00, 0x1c, 0x00, 0x1c, 0x00, 0xfc, 0x00, 0xfc, 0x00,</t>
  </si>
  <si>
    <t xml:space="preserve">  // char 93: ]</t>
  </si>
  <si>
    <t>0x09, 0x1c, 0x00, 0x3e, 0x00, 0x77, 0x00, 0xe3, 0x80, 0xe3, 0x80, 0x00, 0x00, 0x00, 0x00, 0x00, 0x00, 0x00, 0x00, 0x00, 0x00, 0x00, 0x00, 0x00, 0x00, 0x00, 0x00, 0x00, 0x00, 0x00, 0x00, 0x00, 0x00,</t>
  </si>
  <si>
    <t xml:space="preserve">  // char 94: ^</t>
  </si>
  <si>
    <t>0x09, 0x00, 0x00, 0x00, 0x00, 0x00, 0x00, 0x00, 0x00, 0x00, 0x00, 0x00, 0x00, 0x00, 0x00, 0x00, 0x00, 0x00, 0x00, 0x00, 0x00, 0x00, 0x00, 0x00, 0x00, 0x00, 0x00, 0x00, 0x00, 0xff, 0x80, 0xff, 0x80,</t>
  </si>
  <si>
    <t xml:space="preserve">  // char 95: _</t>
  </si>
  <si>
    <t>0x06, 0xe0, 0x00, 0x70, 0x00, 0x38, 0x00, 0x1c, 0x00, 0x00, 0x00, 0x00, 0x00, 0x00, 0x00, 0x00, 0x00, 0x00, 0x00, 0x00, 0x00, 0x00, 0x00, 0x00, 0x00, 0x00, 0x00, 0x00, 0x00, 0x00, 0x00, 0x00, 0x00,</t>
  </si>
  <si>
    <t xml:space="preserve">  // char 96: `</t>
  </si>
  <si>
    <t>0x0b, 0x00, 0x00, 0x00, 0x00, 0x00, 0x00, 0x00, 0x00, 0x3f, 0x80, 0x7f, 0xc0, 0x03, 0xc0, 0x01, 0xc0, 0x3f, 0xc0, 0x7f, 0xc0, 0xf1, 0xc0, 0xe1, 0xc0, 0xe1, 0xc0, 0xf3, 0xc0, 0x7f, 0xe0, 0x3e, 0xe0,</t>
  </si>
  <si>
    <t xml:space="preserve">  // char 97: a</t>
  </si>
  <si>
    <t>0x0a, 0xe0, 0x00, 0xe0, 0x00, 0xe0, 0x00, 0xe0, 0x00, 0xef, 0x00, 0xff, 0x80, 0xf3, 0xc0, 0xe1, 0xc0, 0xe1, 0xc0, 0xe1, 0xc0, 0xe1, 0xc0, 0xe1, 0xc0, 0xe1, 0xc0, 0xf3, 0xc0, 0xff, 0x80, 0xef, 0x00,</t>
  </si>
  <si>
    <t xml:space="preserve">  // char 98: b</t>
  </si>
  <si>
    <t>0x0a, 0x00, 0x00, 0x00, 0x00, 0x00, 0x00, 0x00, 0x00, 0x3f, 0x00, 0x7f, 0x80, 0xf3, 0xc0, 0xe1, 0xc0, 0xe0, 0x00, 0xe0, 0x00, 0xe0, 0x00, 0xe0, 0x00, 0xe1, 0xc0, 0xf3, 0xc0, 0x7f, 0x80, 0x3f, 0x00,</t>
  </si>
  <si>
    <t xml:space="preserve">  // char 99: c</t>
  </si>
  <si>
    <t>0x0a, 0x01, 0xc0, 0x01, 0xc0, 0x01, 0xc0, 0x01, 0xc0, 0x3d, 0xc0, 0x7f, 0xc0, 0xf3, 0xc0, 0xe1, 0xc0, 0xe1, 0xc0, 0xe1, 0xc0, 0xe1, 0xc0, 0xe1, 0xc0, 0xe1, 0xc0, 0xf3, 0xc0, 0x7f, 0xc0, 0x3d, 0xc0,</t>
  </si>
  <si>
    <t xml:space="preserve">  // char 100: d</t>
  </si>
  <si>
    <t>0x0a, 0x00, 0x00, 0x00, 0x00, 0x00, 0x00, 0x00, 0x00, 0x3f, 0x00, 0x7f, 0x80, 0xf3, 0xc0, 0xe1, 0xc0, 0xe1, 0xc0, 0xff, 0xc0, 0xff, 0xc0, 0xe0, 0x00, 0xe1, 0xc0, 0xf3, 0xc0, 0x7f, 0x80, 0x3f, 0x00,</t>
  </si>
  <si>
    <t xml:space="preserve">  // char 101: e</t>
  </si>
  <si>
    <t>0x08, 0x0f, 0x00, 0x1f, 0x00, 0x3c, 0x00, 0x38, 0x00, 0xff, 0x00, 0xff, 0x00, 0x38, 0x00, 0x38, 0x00, 0x38, 0x00, 0x38, 0x00, 0x38, 0x00, 0x38, 0x00, 0x38, 0x00, 0x38, 0x00, 0x38, 0x00, 0x38, 0x00,</t>
  </si>
  <si>
    <t xml:space="preserve">  // char 102: f</t>
  </si>
  <si>
    <t>0x0a, 0x00, 0x00, 0x00, 0x00, 0x00, 0x00, 0x00, 0x00, 0x3d, 0xc0, 0x7f, 0xc0, 0xf3, 0xc0, 0xe1, 0xc0, 0xf3, 0xc0, 0x7f, 0xc0, 0x3d, 0xc0, 0x01, 0xc0, 0xe1, 0xc0, 0xf3, 0xc0, 0x7f, 0x80, 0x3f, 0x00,</t>
  </si>
  <si>
    <t xml:space="preserve">  // char 103: g</t>
  </si>
  <si>
    <t>0x0a, 0xe0, 0x00, 0xe0, 0x00, 0xe0, 0x00, 0xe0, 0x00, 0xef, 0x00, 0xff, 0x80, 0xf3, 0xc0, 0xe1, 0xc0, 0xe1, 0xc0, 0xe1, 0xc0, 0xe1, 0xc0, 0xe1, 0xc0, 0xe1, 0xc0, 0xe1, 0xc0, 0xe1, 0xc0, 0xe1, 0xc0,</t>
  </si>
  <si>
    <t xml:space="preserve">  // char 104: h</t>
  </si>
  <si>
    <t>0x05, 0x70, 0x00, 0x70, 0x00, 0x70, 0x00, 0x00, 0x00, 0xf0, 0x00, 0xf0, 0x00, 0x70, 0x00, 0x70, 0x00, 0x70, 0x00, 0x70, 0x00, 0x70, 0x00, 0x70, 0x00, 0x70, 0x00, 0x70, 0x00, 0xf8, 0x00, 0xf8, 0x00,</t>
  </si>
  <si>
    <t xml:space="preserve">  // char 105: i</t>
  </si>
  <si>
    <t>0x07, 0x0e, 0x00, 0x0e, 0x00, 0x0e, 0x00, 0x00, 0x00, 0x1e, 0x00, 0x1e, 0x00, 0x0e, 0x00, 0x0e, 0x00, 0x0e, 0x00, 0x0e, 0x00, 0x0e, 0x00, 0x0e, 0x00, 0xee, 0x00, 0xfe, 0x00, 0x7c, 0x00, 0x38, 0x00,</t>
  </si>
  <si>
    <t xml:space="preserve">  // char 106: j</t>
  </si>
  <si>
    <t>0x0a, 0xe0, 0x00, 0xe0, 0x00, 0xe0, 0x00, 0xe0, 0x00, 0xe1, 0xc0, 0xe3, 0xc0, 0xe7, 0x80, 0xef, 0x00, 0xfe, 0x00, 0xfc, 0x00, 0xfc, 0x00, 0xfe, 0x00, 0xef, 0x00, 0xe7, 0x80, 0xe3, 0xc0, 0xe1, 0xc0,</t>
  </si>
  <si>
    <t xml:space="preserve">  // char 107: k</t>
  </si>
  <si>
    <t>0x04, 0xe0, 0x00, 0xe0, 0x00, 0xe0, 0x00, 0xe0, 0x00, 0xe0, 0x00, 0xe0, 0x00, 0xe0, 0x00, 0xe0, 0x00, 0xe0, 0x00, 0xe0, 0x00, 0xe0, 0x00, 0xe0, 0x00, 0xe0, 0x00, 0xf0, 0x00, 0xf0, 0x00, 0x70, 0x00,</t>
  </si>
  <si>
    <t xml:space="preserve">  // char 108: l</t>
  </si>
  <si>
    <t>0x0b, 0x00, 0x00, 0x00, 0x00, 0x00, 0x00, 0x00, 0x00, 0xff, 0x80, 0xff, 0xc0, 0xff, 0xe0, 0xee, 0xe0, 0xee, 0xe0, 0xee, 0xe0, 0xee, 0xe0, 0xee, 0xe0, 0xee, 0xe0, 0xee, 0xe0, 0xee, 0xe0, 0xee, 0xe0,</t>
  </si>
  <si>
    <t xml:space="preserve">  // char 109: m</t>
  </si>
  <si>
    <t>0x0a, 0x00, 0x00, 0x00, 0x00, 0x00, 0x00, 0x00, 0x00, 0xef, 0x00, 0xff, 0x80, 0xf3, 0xc0, 0xe1, 0xc0, 0xe1, 0xc0, 0xe1, 0xc0, 0xe1, 0xc0, 0xe1, 0xc0, 0xe1, 0xc0, 0xe1, 0xc0, 0xe1, 0xc0, 0xe1, 0xc0,</t>
  </si>
  <si>
    <t xml:space="preserve">  // char 110: n</t>
  </si>
  <si>
    <t>0x0a, 0x00, 0x00, 0x00, 0x00, 0x00, 0x00, 0x00, 0x00, 0x3f, 0x00, 0x7f, 0x80, 0xf3, 0xc0, 0xe1, 0xc0, 0xe1, 0xc0, 0xe1, 0xc0, 0xe1, 0xc0, 0xe1, 0xc0, 0xe1, 0xc0, 0xf3, 0xc0, 0x7f, 0x80, 0x3f, 0x00,</t>
  </si>
  <si>
    <t xml:space="preserve">  // char 111: o</t>
  </si>
  <si>
    <t>0x0a, 0x00, 0x00, 0x00, 0x00, 0x00, 0x00, 0x00, 0x00, 0x00, 0x00, 0xef, 0x00, 0xff, 0x80, 0xf3, 0xc0, 0xe1, 0xc0, 0xe1, 0xc0, 0xe1, 0xc0, 0xf3, 0xc0, 0xff, 0x80, 0xef, 0x00, 0xe0, 0x00, 0xe0, 0x00,</t>
  </si>
  <si>
    <t xml:space="preserve">  // char 112: p</t>
  </si>
  <si>
    <t>0x0a, 0x00, 0x00, 0x00, 0x00, 0x00, 0x00, 0x00, 0x00, 0x3d, 0xc0, 0x7f, 0xc0, 0xf3, 0xc0, 0xe1, 0xc0, 0xe1, 0xc0, 0xe1, 0xc0, 0xf3, 0xc0, 0x7f, 0xc0, 0x3d, 0xc0, 0x01, 0xc0, 0x01, 0xc0, 0x01, 0xc0,</t>
  </si>
  <si>
    <t xml:space="preserve">  // char 113: q</t>
  </si>
  <si>
    <t>0x07, 0x00, 0x00, 0x00, 0x00, 0x00, 0x00, 0x00, 0x00, 0xee, 0x00, 0xfe, 0x00, 0xf0, 0x00, 0xe0, 0x00, 0xe0, 0x00, 0xe0, 0x00, 0xe0, 0x00, 0xe0, 0x00, 0xe0, 0x00, 0xe0, 0x00, 0xe0, 0x00, 0xe0, 0x00,</t>
  </si>
  <si>
    <t xml:space="preserve">  // char 114: r</t>
  </si>
  <si>
    <t>0x0a, 0x00, 0x00, 0x00, 0x00, 0x00, 0x00, 0x00, 0x00, 0x3f, 0x00, 0x7f, 0x80, 0xf3, 0xc0, 0xe1, 0xc0, 0xf0, 0x00, 0x7f, 0x00, 0x3f, 0x80, 0x03, 0xc0, 0xe1, 0xc0, 0xf3, 0xc0, 0x7f, 0x80, 0x3f, 0x00,</t>
  </si>
  <si>
    <t xml:space="preserve">  // char 115: s</t>
  </si>
  <si>
    <t>0x07, 0x08, 0x00, 0x18, 0x00, 0x38, 0x00, 0x38, 0x00, 0xfe, 0x00, 0xfe, 0x00, 0x38, 0x00, 0x38, 0x00, 0x38, 0x00, 0x38, 0x00, 0x38, 0x00, 0x38, 0x00, 0x38, 0x00, 0x38, 0x00, 0x1e, 0x00, 0x0e, 0x00,</t>
  </si>
  <si>
    <t xml:space="preserve">  // char 116: t</t>
  </si>
  <si>
    <t>0x0a, 0x00, 0x00, 0x00, 0x00, 0x00, 0x00, 0x00, 0x00, 0xe1, 0xc0, 0xe1, 0xc0, 0xe1, 0xc0, 0xe1, 0xc0, 0xe1, 0xc0, 0xe1, 0xc0, 0xe1, 0xc0, 0xe1, 0xc0, 0xe1, 0xc0, 0xf3, 0xc0, 0x7f, 0xc0, 0x3d, 0xc0,</t>
  </si>
  <si>
    <t xml:space="preserve">  // char 117: u</t>
  </si>
  <si>
    <t>0x0a, 0x00, 0x00, 0x00, 0x00, 0x00, 0x00, 0x00, 0x00, 0xe1, 0xc0, 0xe1, 0xc0, 0xe1, 0xc0, 0xe1, 0xc0, 0x73, 0x80, 0x73, 0x80, 0x33, 0x00, 0x3f, 0x00, 0x1e, 0x00, 0x1e, 0x00, 0x0c, 0x00, 0x0c, 0x00,</t>
  </si>
  <si>
    <t xml:space="preserve">  // char 118: v</t>
  </si>
  <si>
    <t>0x0c, 0x00, 0x00, 0x00, 0x00, 0x00, 0x00, 0x00, 0x00, 0xe0, 0x70, 0xe0, 0x70, 0xe0, 0x70, 0xe6, 0x70, 0xe6, 0x70, 0xef, 0x70, 0xff, 0xf0, 0x7f, 0xe0, 0x79, 0xe0, 0x79, 0xe0, 0x30, 0xc0, 0x30, 0xc0,</t>
  </si>
  <si>
    <t xml:space="preserve">  // char 119: w</t>
  </si>
  <si>
    <t>0x0a, 0x00, 0x00, 0x00, 0x00, 0x00, 0x00, 0x00, 0x00, 0xe1, 0xc0, 0xe1, 0xc0, 0xf3, 0xc0, 0x7f, 0x80, 0x3f, 0x00, 0x1e, 0x00, 0x1e, 0x00, 0x3f, 0x00, 0x7f, 0x80, 0xf3, 0xc0, 0xe1, 0xc0, 0xe1, 0xc0,</t>
  </si>
  <si>
    <t xml:space="preserve">  // char 120: x</t>
  </si>
  <si>
    <t>0x0b, 0x00, 0x00, 0x00, 0x00, 0x00, 0x00, 0x00, 0x00, 0xe0, 0xe0, 0xe0, 0xe0, 0x71, 0xc0, 0x71, 0xc0, 0x3b, 0x80, 0x3b, 0x80, 0x1f, 0x00, 0x1f, 0x00, 0x0e, 0x00, 0x1e, 0x00, 0xfc, 0x00, 0x78, 0x00,</t>
  </si>
  <si>
    <t xml:space="preserve">  // char 121: y</t>
  </si>
  <si>
    <t>0x0a, 0x00, 0x00, 0x00, 0x00, 0x00, 0x00, 0x00, 0x00, 0xff, 0xc0, 0xff, 0xc0, 0xc1, 0xc0, 0x03, 0x80, 0x07, 0x00, 0x0e, 0x00, 0x1c, 0x00, 0x38, 0x00, 0x70, 0x00, 0xe1, 0xc0, 0xff, 0xc0, 0xff, 0xc0,</t>
  </si>
  <si>
    <t xml:space="preserve">  // char 122: z</t>
  </si>
  <si>
    <t>0x08, 0x0f, 0x00, 0x1f, 0x00, 0x3c, 0x00, 0x38, 0x00, 0x38, 0x00, 0x38, 0x00, 0x78, 0x00, 0xf0, 0x00, 0xf0, 0x00, 0x78, 0x00, 0x38, 0x00, 0x38, 0x00, 0x38, 0x00, 0x3c, 0x00, 0x1f, 0x00, 0x0f, 0x00,</t>
  </si>
  <si>
    <t xml:space="preserve">  // char 123: {</t>
  </si>
  <si>
    <t>0x03, 0xe0, 0x00, 0xe0, 0x00, 0xe0, 0x00, 0xe0, 0x00, 0xe0, 0x00, 0xe0, 0x00, 0xe0, 0x00, 0xe0, 0x00, 0xe0, 0x00, 0xe0, 0x00, 0xe0, 0x00, 0xe0, 0x00, 0xe0, 0x00, 0xe0, 0x00, 0xe0, 0x00, 0xe0, 0x00,</t>
  </si>
  <si>
    <t xml:space="preserve">  // char 124: |</t>
  </si>
  <si>
    <t>0x08, 0xf0, 0x00, 0xf8, 0x00, 0x3c, 0x00, 0x1c, 0x00, 0x1c, 0x00, 0x1c, 0x00, 0x1e, 0x00, 0x0f, 0x00, 0x0f, 0x00, 0x1e, 0x00, 0x1c, 0x00, 0x1c, 0x00, 0x1c, 0x00, 0x3c, 0x00, 0xf8, 0x00, 0xf0, 0x00,</t>
  </si>
  <si>
    <t xml:space="preserve">  // char 125: }</t>
  </si>
  <si>
    <t>0x0c, 0x00, 0x00, 0x00, 0x00, 0x00, 0x00, 0x00, 0x00, 0x00, 0x00, 0x3c, 0x70, 0x7e, 0xf0, 0xf7, 0xe0, 0xe3, 0xc0, 0x00, 0x00, 0x00, 0x00, 0x00, 0x00, 0x00, 0x00, 0x00, 0x00, 0x00, 0x00, 0x00, 0x00,</t>
  </si>
  <si>
    <t xml:space="preserve">  // char 126: ~</t>
  </si>
  <si>
    <t>0x09, 0xff, 0x80, 0xff, 0x80, 0xe3, 0x80, 0xe3, 0x80, 0xe3, 0x80, 0xe3, 0x80, 0xe3, 0x80, 0xe3, 0x80, 0xe3, 0x80, 0xe3, 0x80, 0xe3, 0x80, 0xe3, 0x80, 0xe3, 0x80, 0xe3, 0x80, 0xff, 0x80, 0xff, 0x80,</t>
  </si>
  <si>
    <t xml:space="preserve">  // char 127</t>
  </si>
  <si>
    <t>пробл</t>
  </si>
  <si>
    <t>!</t>
  </si>
  <si>
    <t>#</t>
  </si>
  <si>
    <t>$</t>
  </si>
  <si>
    <t>%</t>
  </si>
  <si>
    <t>&amp;</t>
  </si>
  <si>
    <t/>
  </si>
  <si>
    <t>(</t>
  </si>
  <si>
    <t>)</t>
  </si>
  <si>
    <t>*</t>
  </si>
  <si>
    <t>D</t>
  </si>
  <si>
    <t>A</t>
  </si>
  <si>
    <t>/</t>
  </si>
  <si>
    <t>:</t>
  </si>
  <si>
    <t>;</t>
  </si>
  <si>
    <t>&lt;</t>
  </si>
  <si>
    <t>&gt;</t>
  </si>
  <si>
    <t>?</t>
  </si>
  <si>
    <t>@</t>
  </si>
  <si>
    <t>B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</si>
  <si>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</si>
  <si>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</si>
  <si>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</si>
  <si>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</si>
  <si>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</si>
  <si>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</si>
  <si>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</si>
  <si>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</si>
  <si>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</si>
  <si>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</si>
  <si>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</si>
  <si>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</si>
  <si>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</si>
  <si>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</si>
  <si>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</si>
  <si>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</si>
  <si>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</si>
  <si>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</si>
  <si>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</si>
  <si>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</si>
  <si>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</si>
  <si>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</si>
  <si>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</si>
  <si>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</si>
  <si>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]</t>
  </si>
  <si>
    <t>^</t>
  </si>
  <si>
    <t>_</t>
  </si>
  <si>
    <t>`</t>
  </si>
  <si>
    <t>a</t>
  </si>
  <si>
    <t>b</t>
  </si>
  <si>
    <t>c</t>
  </si>
  <si>
    <t>d</t>
  </si>
  <si>
    <t>f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</si>
  <si>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</si>
  <si>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</si>
  <si>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</si>
  <si>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</si>
  <si>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</si>
  <si>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</si>
  <si>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</si>
  <si>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</si>
  <si>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</si>
  <si>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</si>
  <si>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</si>
  <si>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</si>
  <si>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</si>
  <si>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</si>
  <si>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</si>
  <si>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</si>
  <si>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</si>
  <si>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</si>
  <si>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</si>
  <si>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z</t>
  </si>
  <si>
    <t>{</t>
  </si>
  <si>
    <t>|</t>
  </si>
  <si>
    <t>}</t>
  </si>
  <si>
    <t>~</t>
  </si>
  <si>
    <t>ширина</t>
  </si>
  <si>
    <t>ручн</t>
  </si>
  <si>
    <t>ввод</t>
  </si>
  <si>
    <t>копируем, и вставляем в скетч с 32 по 127 символ</t>
  </si>
  <si>
    <t>//</t>
  </si>
  <si>
    <t>английский</t>
  </si>
  <si>
    <t>"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</si>
</sst>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2" borderId="0" xfId="0" applyFont="1" applyFill="1"/>
    <xf numFmtId="0" fontId="0" fillId="0" borderId="0" xfId="0" applyAlignment="1">
      <alignment horizontal="center"/>
    </xf>
    <xf numFmtId="0" fontId="0" fillId="0" borderId="0" xfId="0" applyFill="1"/>
    <xf numFmtId="0" fontId="2" fillId="2" borderId="0" xfId="0" applyFont="1" applyFill="1"/>
    <xf numFmtId="0" fontId="0" fillId="4" borderId="0" xfId="0" quotePrefix="1" applyFill="1"/>
  </cellXfs>
  <cellStyles count="1">
    <cellStyle name="Обычный" xfId="0" builtinId="0"/>
  </cellStyles>
  <dxfs count="79"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3"/>
  <dimension ref="A4:CB29"/>
  <sheetViews>
    <sheetView topLeftCell="P1" workbookViewId="0">
      <selection activeCell="AJ29" sqref="AJ29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32</v>
      </c>
      <c r="Z4" t="s">
        <v>5</v>
      </c>
      <c r="AB4" s="3">
        <v>33</v>
      </c>
      <c r="BA4" t="s">
        <v>5</v>
      </c>
      <c r="BC4" s="3">
        <v>34</v>
      </c>
      <c r="CB4" t="s">
        <v>5</v>
      </c>
    </row>
    <row r="5" spans="1:80">
      <c r="A5" s="3" t="s">
        <v>217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218</v>
      </c>
      <c r="AC5" t="str">
        <f>BA5&amp;AZ5&amp;BIN2HEX(AE5,2)&amp;AY5</f>
        <v xml:space="preserve"> 0xE0,</v>
      </c>
      <c r="AD5" t="str">
        <f>BA5&amp;BIN2DEC(AE5)&amp;AY5</f>
        <v>224,</v>
      </c>
      <c r="AE5" t="str">
        <f>AF5&amp;AG5&amp;AH5&amp;AI5&amp;AJ5&amp;AK5&amp;AL5&amp;AM5</f>
        <v>11100000</v>
      </c>
      <c r="AF5">
        <v>1</v>
      </c>
      <c r="AG5">
        <v>1</v>
      </c>
      <c r="AH5">
        <v>1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300</v>
      </c>
      <c r="BD5" t="str">
        <f>CB5&amp;CA5&amp;BIN2HEX(BF5,2)&amp;BZ5</f>
        <v xml:space="preserve"> 0xE7,</v>
      </c>
      <c r="BE5" t="str">
        <f>CB5&amp;BIN2DEC(BF5)&amp;BZ5</f>
        <v>231,</v>
      </c>
      <c r="BF5" t="str">
        <f>BG5&amp;BH5&amp;BI5&amp;BJ5&amp;BK5&amp;BL5&amp;BM5&amp;BN5</f>
        <v>11100111</v>
      </c>
      <c r="BG5">
        <v>1</v>
      </c>
      <c r="BH5">
        <v>1</v>
      </c>
      <c r="BI5">
        <v>1</v>
      </c>
      <c r="BJ5">
        <v>0</v>
      </c>
      <c r="BK5">
        <v>0</v>
      </c>
      <c r="BL5">
        <v>1</v>
      </c>
      <c r="BM5">
        <v>1</v>
      </c>
      <c r="BN5">
        <v>1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0xE0,</v>
      </c>
      <c r="AD6" t="str">
        <f t="shared" ref="AD6:AD20" si="7">BA6&amp;BIN2DEC(AE6)&amp;AY6</f>
        <v>224,</v>
      </c>
      <c r="AE6" t="str">
        <f t="shared" ref="AE6:AE20" si="8">AF6&amp;AG6&amp;AH6&amp;AI6&amp;AJ6&amp;AK6&amp;AL6&amp;AM6</f>
        <v>11100000</v>
      </c>
      <c r="AF6">
        <v>1</v>
      </c>
      <c r="AG6">
        <v>1</v>
      </c>
      <c r="AH6">
        <v>1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0xE7,</v>
      </c>
      <c r="BE6" t="str">
        <f t="shared" ref="BE6:BE20" si="13">CB6&amp;BIN2DEC(BF6)&amp;BZ6</f>
        <v>231,</v>
      </c>
      <c r="BF6" t="str">
        <f t="shared" ref="BF6:BF20" si="14">BG6&amp;BH6&amp;BI6&amp;BJ6&amp;BK6&amp;BL6&amp;BM6&amp;BN6</f>
        <v>11100111</v>
      </c>
      <c r="BG6">
        <v>1</v>
      </c>
      <c r="BH6">
        <v>1</v>
      </c>
      <c r="BI6">
        <v>1</v>
      </c>
      <c r="BJ6">
        <v>0</v>
      </c>
      <c r="BK6">
        <v>0</v>
      </c>
      <c r="BL6">
        <v>1</v>
      </c>
      <c r="BM6">
        <v>1</v>
      </c>
      <c r="BN6">
        <v>1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A7" t="s">
        <v>294</v>
      </c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0xE0,</v>
      </c>
      <c r="AD7" t="str">
        <f t="shared" si="7"/>
        <v>224,</v>
      </c>
      <c r="AE7" t="str">
        <f t="shared" si="8"/>
        <v>11100000</v>
      </c>
      <c r="AF7">
        <v>1</v>
      </c>
      <c r="AG7">
        <v>1</v>
      </c>
      <c r="AH7">
        <v>1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0xE7,</v>
      </c>
      <c r="BE7" t="str">
        <f t="shared" si="13"/>
        <v>231,</v>
      </c>
      <c r="BF7" t="str">
        <f t="shared" si="14"/>
        <v>11100111</v>
      </c>
      <c r="BG7">
        <v>1</v>
      </c>
      <c r="BH7">
        <v>1</v>
      </c>
      <c r="BI7">
        <v>1</v>
      </c>
      <c r="BJ7">
        <v>0</v>
      </c>
      <c r="BK7">
        <v>0</v>
      </c>
      <c r="BL7">
        <v>1</v>
      </c>
      <c r="BM7">
        <v>1</v>
      </c>
      <c r="BN7">
        <v>1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A8" s="3">
        <v>4</v>
      </c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0xE0,</v>
      </c>
      <c r="AD8" t="str">
        <f t="shared" si="7"/>
        <v>224,</v>
      </c>
      <c r="AE8" t="str">
        <f t="shared" si="8"/>
        <v>11100000</v>
      </c>
      <c r="AF8">
        <v>1</v>
      </c>
      <c r="AG8">
        <v>1</v>
      </c>
      <c r="AH8">
        <v>1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C8" s="3">
        <v>2</v>
      </c>
      <c r="BD8" t="str">
        <f t="shared" si="12"/>
        <v xml:space="preserve"> 0xE7,</v>
      </c>
      <c r="BE8" t="str">
        <f t="shared" si="13"/>
        <v>231,</v>
      </c>
      <c r="BF8" t="str">
        <f t="shared" si="14"/>
        <v>11100111</v>
      </c>
      <c r="BG8">
        <v>1</v>
      </c>
      <c r="BH8">
        <v>1</v>
      </c>
      <c r="BI8">
        <v>1</v>
      </c>
      <c r="BJ8">
        <v>0</v>
      </c>
      <c r="BK8">
        <v>0</v>
      </c>
      <c r="BL8">
        <v>1</v>
      </c>
      <c r="BM8">
        <v>1</v>
      </c>
      <c r="BN8">
        <v>1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A9" t="s">
        <v>295</v>
      </c>
      <c r="B9" t="str">
        <f t="shared" si="0"/>
        <v xml:space="preserve"> 0x00,</v>
      </c>
      <c r="C9" t="str">
        <f t="shared" si="1"/>
        <v>0,</v>
      </c>
      <c r="D9" t="str">
        <f t="shared" si="2"/>
        <v>00000000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0xE0,</v>
      </c>
      <c r="AD9" t="str">
        <f t="shared" si="7"/>
        <v>224,</v>
      </c>
      <c r="AE9" t="str">
        <f t="shared" si="8"/>
        <v>11100000</v>
      </c>
      <c r="AF9">
        <v>1</v>
      </c>
      <c r="AG9">
        <v>1</v>
      </c>
      <c r="AH9">
        <v>1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0xE7,</v>
      </c>
      <c r="BE9" t="str">
        <f t="shared" si="13"/>
        <v>231,</v>
      </c>
      <c r="BF9" t="str">
        <f t="shared" si="14"/>
        <v>11100111</v>
      </c>
      <c r="BG9">
        <v>1</v>
      </c>
      <c r="BH9">
        <v>1</v>
      </c>
      <c r="BI9">
        <v>1</v>
      </c>
      <c r="BJ9">
        <v>0</v>
      </c>
      <c r="BK9">
        <v>0</v>
      </c>
      <c r="BL9">
        <v>1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A10" t="s">
        <v>296</v>
      </c>
      <c r="B10" t="str">
        <f t="shared" si="0"/>
        <v xml:space="preserve"> 0x00,</v>
      </c>
      <c r="C10" t="str">
        <f t="shared" si="1"/>
        <v>0,</v>
      </c>
      <c r="D10" t="str">
        <f t="shared" si="2"/>
        <v>00000000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0xE0,</v>
      </c>
      <c r="AD10" t="str">
        <f t="shared" si="7"/>
        <v>224,</v>
      </c>
      <c r="AE10" t="str">
        <f t="shared" si="8"/>
        <v>11100000</v>
      </c>
      <c r="AF10">
        <v>1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0x00,</v>
      </c>
      <c r="BE10" t="str">
        <f t="shared" si="13"/>
        <v>0,</v>
      </c>
      <c r="BF10" t="str">
        <f t="shared" si="14"/>
        <v>00000000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0x00,</v>
      </c>
      <c r="C11" t="str">
        <f t="shared" si="1"/>
        <v>0,</v>
      </c>
      <c r="D11" t="str">
        <f t="shared" si="2"/>
        <v>00000000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0xE0,</v>
      </c>
      <c r="AD11" t="str">
        <f t="shared" si="7"/>
        <v>224,</v>
      </c>
      <c r="AE11" t="str">
        <f t="shared" si="8"/>
        <v>11100000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0x00,</v>
      </c>
      <c r="BE11" t="str">
        <f t="shared" si="13"/>
        <v>0,</v>
      </c>
      <c r="BF11" t="str">
        <f t="shared" si="14"/>
        <v>00000000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0x00,</v>
      </c>
      <c r="C12" t="str">
        <f t="shared" si="1"/>
        <v>0,</v>
      </c>
      <c r="D12" t="str">
        <f t="shared" si="2"/>
        <v>00000000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0xE0,</v>
      </c>
      <c r="AD12" t="str">
        <f t="shared" si="7"/>
        <v>224,</v>
      </c>
      <c r="AE12" t="str">
        <f t="shared" si="8"/>
        <v>11100000</v>
      </c>
      <c r="AF12">
        <v>1</v>
      </c>
      <c r="AG12">
        <v>1</v>
      </c>
      <c r="AH12">
        <v>1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0x00,</v>
      </c>
      <c r="BE12" t="str">
        <f t="shared" si="13"/>
        <v>0,</v>
      </c>
      <c r="BF12" t="str">
        <f t="shared" si="14"/>
        <v>00000000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0x00,</v>
      </c>
      <c r="C13" t="str">
        <f t="shared" si="1"/>
        <v>0,</v>
      </c>
      <c r="D13" t="str">
        <f t="shared" si="2"/>
        <v>00000000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0xE0,</v>
      </c>
      <c r="AD13" t="str">
        <f t="shared" si="7"/>
        <v>224,</v>
      </c>
      <c r="AE13" t="str">
        <f t="shared" si="8"/>
        <v>11100000</v>
      </c>
      <c r="AF13">
        <v>1</v>
      </c>
      <c r="AG13">
        <v>1</v>
      </c>
      <c r="AH13">
        <v>1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0x00,</v>
      </c>
      <c r="BE13" t="str">
        <f t="shared" si="13"/>
        <v>0,</v>
      </c>
      <c r="BF13" t="str">
        <f t="shared" si="14"/>
        <v>00000000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0x00,</v>
      </c>
      <c r="C14" t="str">
        <f t="shared" si="1"/>
        <v>0,</v>
      </c>
      <c r="D14" t="str">
        <f t="shared" si="2"/>
        <v>00000000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0xE0,</v>
      </c>
      <c r="AD14" t="str">
        <f t="shared" si="7"/>
        <v>224,</v>
      </c>
      <c r="AE14" t="str">
        <f t="shared" si="8"/>
        <v>11100000</v>
      </c>
      <c r="AF14">
        <v>1</v>
      </c>
      <c r="AG14">
        <v>1</v>
      </c>
      <c r="AH14">
        <v>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0x00,</v>
      </c>
      <c r="BE14" t="str">
        <f t="shared" si="13"/>
        <v>0,</v>
      </c>
      <c r="BF14" t="str">
        <f t="shared" si="14"/>
        <v>00000000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0x00,</v>
      </c>
      <c r="C15" t="str">
        <f t="shared" si="1"/>
        <v>0,</v>
      </c>
      <c r="D15" t="str">
        <f t="shared" si="2"/>
        <v>00000000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0xE0,</v>
      </c>
      <c r="AD15" t="str">
        <f t="shared" si="7"/>
        <v>224,</v>
      </c>
      <c r="AE15" t="str">
        <f t="shared" si="8"/>
        <v>11100000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0x00,</v>
      </c>
      <c r="BE15" t="str">
        <f t="shared" si="13"/>
        <v>0,</v>
      </c>
      <c r="BF15" t="str">
        <f t="shared" si="14"/>
        <v>00000000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0x00,</v>
      </c>
      <c r="C16" t="str">
        <f t="shared" si="1"/>
        <v>0,</v>
      </c>
      <c r="D16" t="str">
        <f t="shared" si="2"/>
        <v>00000000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0xE0,</v>
      </c>
      <c r="AD16" t="str">
        <f t="shared" si="7"/>
        <v>224,</v>
      </c>
      <c r="AE16" t="str">
        <f t="shared" si="8"/>
        <v>11100000</v>
      </c>
      <c r="AF16">
        <v>1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0x00,</v>
      </c>
      <c r="BE16" t="str">
        <f t="shared" si="13"/>
        <v>0,</v>
      </c>
      <c r="BF16" t="str">
        <f t="shared" si="14"/>
        <v>00000000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0x00,</v>
      </c>
      <c r="C17" t="str">
        <f t="shared" si="1"/>
        <v>0,</v>
      </c>
      <c r="D17" t="str">
        <f t="shared" si="2"/>
        <v>00000000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0x00,</v>
      </c>
      <c r="AD17" t="str">
        <f t="shared" si="7"/>
        <v>0,</v>
      </c>
      <c r="AE17" t="str">
        <f t="shared" si="8"/>
        <v>00000000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0x00,</v>
      </c>
      <c r="BE17" t="str">
        <f t="shared" si="13"/>
        <v>0,</v>
      </c>
      <c r="BF17" t="str">
        <f t="shared" si="14"/>
        <v>00000000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0x00,</v>
      </c>
      <c r="C18" t="str">
        <f t="shared" si="1"/>
        <v>0,</v>
      </c>
      <c r="D18" t="str">
        <f t="shared" si="2"/>
        <v>00000000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0xE0,</v>
      </c>
      <c r="AD18" t="str">
        <f t="shared" si="7"/>
        <v>224,</v>
      </c>
      <c r="AE18" t="str">
        <f t="shared" si="8"/>
        <v>11100000</v>
      </c>
      <c r="AF18">
        <v>1</v>
      </c>
      <c r="AG18">
        <v>1</v>
      </c>
      <c r="AH18">
        <v>1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0x00,</v>
      </c>
      <c r="BE18" t="str">
        <f t="shared" si="13"/>
        <v>0,</v>
      </c>
      <c r="BF18" t="str">
        <f t="shared" si="14"/>
        <v>00000000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0x00,</v>
      </c>
      <c r="C19" t="str">
        <f t="shared" si="1"/>
        <v>0,</v>
      </c>
      <c r="D19" t="str">
        <f t="shared" si="2"/>
        <v>00000000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0xE0,</v>
      </c>
      <c r="AD19" t="str">
        <f t="shared" si="7"/>
        <v>224,</v>
      </c>
      <c r="AE19" t="str">
        <f t="shared" si="8"/>
        <v>11100000</v>
      </c>
      <c r="AF19">
        <v>1</v>
      </c>
      <c r="AG19">
        <v>1</v>
      </c>
      <c r="AH19">
        <v>1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0x00,</v>
      </c>
      <c r="BE19" t="str">
        <f t="shared" si="13"/>
        <v>0,</v>
      </c>
      <c r="BF19" t="str">
        <f t="shared" si="14"/>
        <v>00000000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0x00,</v>
      </c>
      <c r="C20" t="str">
        <f t="shared" si="1"/>
        <v>0,</v>
      </c>
      <c r="D20" t="str">
        <f t="shared" si="2"/>
        <v>00000000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0xE0,</v>
      </c>
      <c r="AD20" t="str">
        <f t="shared" si="7"/>
        <v>224,</v>
      </c>
      <c r="AE20" t="str">
        <f t="shared" si="8"/>
        <v>11100000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0x00,</v>
      </c>
      <c r="BE20" t="str">
        <f t="shared" si="13"/>
        <v>0,</v>
      </c>
      <c r="BF20" t="str">
        <f t="shared" si="14"/>
        <v>00000000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D22">
        <f>A8</f>
        <v>4</v>
      </c>
      <c r="E22">
        <f t="shared" ref="E22:S22" si="18">MAX(E5:E20)</f>
        <v>0</v>
      </c>
      <c r="F22">
        <f t="shared" si="18"/>
        <v>0</v>
      </c>
      <c r="G22">
        <f t="shared" si="18"/>
        <v>0</v>
      </c>
      <c r="H22">
        <f t="shared" si="18"/>
        <v>0</v>
      </c>
      <c r="I22">
        <f t="shared" si="18"/>
        <v>0</v>
      </c>
      <c r="J22">
        <f t="shared" si="18"/>
        <v>0</v>
      </c>
      <c r="K22">
        <f t="shared" si="18"/>
        <v>0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SUM(D22:T22)&amp;X20</f>
        <v>4,</v>
      </c>
      <c r="V22" t="str">
        <f>Y20&amp;DEC2HEX(A8,2)&amp;X20</f>
        <v xml:space="preserve"> 0x04,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0</v>
      </c>
      <c r="AJ22">
        <f t="shared" si="19"/>
        <v>0</v>
      </c>
      <c r="AK22">
        <f t="shared" si="19"/>
        <v>0</v>
      </c>
      <c r="AL22">
        <f t="shared" si="19"/>
        <v>0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3,</v>
      </c>
      <c r="AW22" t="str">
        <f>AZ20&amp;DEC2HEX(AV22,2)&amp;AY20</f>
        <v xml:space="preserve"> 0x03,</v>
      </c>
      <c r="BC22" t="s">
        <v>298</v>
      </c>
      <c r="BF22">
        <f>BC8</f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0</v>
      </c>
      <c r="BK22">
        <f t="shared" si="20"/>
        <v>0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SUM(BF22:BV22)&amp;BZ20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4,0,0,0,0,0,0,0,0,0,0,0,0,0,0,0,0,0,0,0,0,0,0,0,0,0,0,0,0,0,0,0,0,//пробл//32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3,224,0,224,0,224,0,224,0,224,0,224,0,224,0,224,0,224,0,224,0,224,0,224,0,0,0,224,0,224,0,224,0,//!//33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8,231,0,231,0,231,0,231,0,231,0,0,0,0,0,0,0,0,0,0,0,0,0,0,0,0,0,0,0,0,0,0,0,//"//34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0x04, 0x00, 0x00, 0x00, 0x00, 0x00, 0x00, 0x00, 0x00, 0x00, 0x00, 0x00, 0x00, 0x00, 0x00, 0x00, 0x00, 0x00, 0x00, 0x00, 0x00, 0x00, 0x00, 0x00, 0x00, 0x00, 0x00, 0x00, 0x00, 0x00, 0x00, 0x00, 0x00,//пробл//32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0x03, 0xE0, 0x00, 0xE0, 0x00, 0xE0, 0x00, 0xE0, 0x00, 0xE0, 0x00, 0xE0, 0x00, 0xE0, 0x00, 0xE0, 0x00, 0xE0, 0x00, 0xE0, 0x00, 0xE0, 0x00, 0xE0, 0x00, 0x00, 0x00, 0xE0, 0x00, 0xE0, 0x00, 0xE0, 0x00,//!//33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0xE7, 0x00, 0xE7, 0x00, 0xE7, 0x00, 0xE7, 0x00, 0xE7, 0x00, 0x00, 0x00, 0x00, 0x00, 0x00, 0x00, 0x00, 0x00, 0x00, 0x00, 0x00, 0x00, 0x00, 0x00, 0x00, 0x00, 0x00, 0x00, 0x00, 0x00, 0x00, 0x00,//"//34</v>
      </c>
    </row>
    <row r="28" spans="1:79">
      <c r="A28" s="1" t="str">
        <f>$B$24</f>
        <v>4,0,0,0,0,0,0,0,0,0,0,0,0,0,0,0,0,0,0,0,0,0,0,0,0,0,0,0,0,0,0,0,0,//пробл//32</v>
      </c>
      <c r="E28" t="s">
        <v>4</v>
      </c>
      <c r="AB28" s="1" t="str">
        <f>$AC$24</f>
        <v>3,224,0,224,0,224,0,224,0,224,0,224,0,224,0,224,0,224,0,224,0,224,0,224,0,0,0,224,0,224,0,224,0,//!//33</v>
      </c>
      <c r="AF28" t="s">
        <v>4</v>
      </c>
      <c r="BC28" s="1" t="str">
        <f>$BD$24</f>
        <v>8,231,0,231,0,231,0,231,0,231,0,0,0,0,0,0,0,0,0,0,0,0,0,0,0,0,0,0,0,0,0,0,0,//"//34</v>
      </c>
      <c r="BG28" t="s">
        <v>4</v>
      </c>
    </row>
    <row r="29" spans="1:79">
      <c r="A29" s="2" t="str">
        <f>$B$25</f>
        <v xml:space="preserve"> 0x04, 0x00, 0x00, 0x00, 0x00, 0x00, 0x00, 0x00, 0x00, 0x00, 0x00, 0x00, 0x00, 0x00, 0x00, 0x00, 0x00, 0x00, 0x00, 0x00, 0x00, 0x00, 0x00, 0x00, 0x00, 0x00, 0x00, 0x00, 0x00, 0x00, 0x00, 0x00, 0x00,//пробл//32</v>
      </c>
      <c r="E29" t="s">
        <v>3</v>
      </c>
      <c r="AB29" s="2" t="str">
        <f>$AC$25</f>
        <v xml:space="preserve"> 0x03, 0xE0, 0x00, 0xE0, 0x00, 0xE0, 0x00, 0xE0, 0x00, 0xE0, 0x00, 0xE0, 0x00, 0xE0, 0x00, 0xE0, 0x00, 0xE0, 0x00, 0xE0, 0x00, 0xE0, 0x00, 0xE0, 0x00, 0x00, 0x00, 0xE0, 0x00, 0xE0, 0x00, 0xE0, 0x00,//!//33</v>
      </c>
      <c r="AF29" t="s">
        <v>3</v>
      </c>
      <c r="BC29" s="2" t="str">
        <f>$BD$25</f>
        <v xml:space="preserve"> 0x08, 0xE7, 0x00, 0xE7, 0x00, 0xE7, 0x00, 0xE7, 0x00, 0xE7, 0x00, 0x00, 0x00, 0x00, 0x00, 0x00, 0x00, 0x00, 0x00, 0x00, 0x00, 0x00, 0x00, 0x00, 0x00, 0x00, 0x00, 0x00, 0x00, 0x00, 0x00, 0x00, 0x00,//"//34</v>
      </c>
      <c r="BG29" t="s">
        <v>3</v>
      </c>
    </row>
  </sheetData>
  <conditionalFormatting sqref="E5:T20">
    <cfRule type="colorScale" priority="5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E5:T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9"/>
  <dimension ref="A4:CB29"/>
  <sheetViews>
    <sheetView zoomScaleNormal="100" workbookViewId="0">
      <selection activeCell="O30" sqref="O30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35</v>
      </c>
      <c r="Z4" t="s">
        <v>5</v>
      </c>
      <c r="AB4" s="3">
        <v>36</v>
      </c>
      <c r="BA4" t="s">
        <v>5</v>
      </c>
      <c r="BC4" s="3">
        <v>37</v>
      </c>
      <c r="CB4" t="s">
        <v>5</v>
      </c>
    </row>
    <row r="5" spans="1:80">
      <c r="A5" s="3" t="s">
        <v>219</v>
      </c>
      <c r="B5" t="str">
        <f>Z5&amp;Y5&amp;BIN2HEX(D5,2)&amp;X5</f>
        <v xml:space="preserve"> 0x39,</v>
      </c>
      <c r="C5" t="str">
        <f>Z5&amp;BIN2DEC(D5)&amp;X5</f>
        <v>57,</v>
      </c>
      <c r="D5" t="str">
        <f>E5&amp;F5&amp;G5&amp;H5&amp;I5&amp;J5&amp;K5&amp;L5</f>
        <v>00111001</v>
      </c>
      <c r="E5">
        <v>0</v>
      </c>
      <c r="F5">
        <v>0</v>
      </c>
      <c r="G5">
        <v>1</v>
      </c>
      <c r="H5">
        <v>1</v>
      </c>
      <c r="I5">
        <v>1</v>
      </c>
      <c r="J5">
        <v>0</v>
      </c>
      <c r="K5">
        <v>0</v>
      </c>
      <c r="L5">
        <v>1</v>
      </c>
      <c r="M5">
        <v>1</v>
      </c>
      <c r="N5">
        <v>1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11000000</v>
      </c>
      <c r="V5" t="str">
        <f>Z5&amp;BIN2DEC(U5)&amp;X5</f>
        <v>192,</v>
      </c>
      <c r="W5" t="str">
        <f>Z5&amp;Y5&amp;BIN2HEX(U5,2)&amp;X5</f>
        <v xml:space="preserve"> 0xC0,</v>
      </c>
      <c r="X5" t="s">
        <v>0</v>
      </c>
      <c r="Y5" t="s">
        <v>1</v>
      </c>
      <c r="AB5" s="3" t="s">
        <v>220</v>
      </c>
      <c r="AC5" t="str">
        <f>BA5&amp;AZ5&amp;BIN2HEX(AE5,2)&amp;AY5</f>
        <v xml:space="preserve"> 0x0E,</v>
      </c>
      <c r="AD5" t="str">
        <f>BA5&amp;BIN2DEC(AE5)&amp;AY5</f>
        <v>14,</v>
      </c>
      <c r="AE5" t="str">
        <f>AF5&amp;AG5&amp;AH5&amp;AI5&amp;AJ5&amp;AK5&amp;AL5&amp;AM5</f>
        <v>00001110</v>
      </c>
      <c r="AF5">
        <v>0</v>
      </c>
      <c r="AG5">
        <v>0</v>
      </c>
      <c r="AH5">
        <v>0</v>
      </c>
      <c r="AI5">
        <v>0</v>
      </c>
      <c r="AJ5">
        <v>1</v>
      </c>
      <c r="AK5">
        <v>1</v>
      </c>
      <c r="AL5">
        <v>1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221</v>
      </c>
      <c r="BD5" t="str">
        <f>CB5&amp;CA5&amp;BIN2HEX(BF5,2)&amp;BZ5</f>
        <v xml:space="preserve"> 0x70,</v>
      </c>
      <c r="BE5" t="str">
        <f>CB5&amp;BIN2DEC(BF5)&amp;BZ5</f>
        <v>112,</v>
      </c>
      <c r="BF5" t="str">
        <f>BG5&amp;BH5&amp;BI5&amp;BJ5&amp;BK5&amp;BL5&amp;BM5&amp;BN5</f>
        <v>01110000</v>
      </c>
      <c r="BG5">
        <v>0</v>
      </c>
      <c r="BH5">
        <v>1</v>
      </c>
      <c r="BI5">
        <v>1</v>
      </c>
      <c r="BJ5">
        <v>1</v>
      </c>
      <c r="BK5">
        <v>0</v>
      </c>
      <c r="BL5">
        <v>0</v>
      </c>
      <c r="BM5">
        <v>0</v>
      </c>
      <c r="BN5">
        <v>0</v>
      </c>
      <c r="BO5">
        <v>1</v>
      </c>
      <c r="BP5">
        <v>1</v>
      </c>
      <c r="BQ5">
        <v>1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11100000</v>
      </c>
      <c r="BX5" t="str">
        <f>CB5&amp;BIN2DEC(BW5)&amp;BZ5</f>
        <v>224,</v>
      </c>
      <c r="BY5" t="str">
        <f>CB5&amp;CA5&amp;BIN2HEX(BW5,2)&amp;BZ5</f>
        <v xml:space="preserve"> 0xE0,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0x39,</v>
      </c>
      <c r="C6" t="str">
        <f t="shared" ref="C6:C20" si="1">Z6&amp;BIN2DEC(D6)&amp;X6</f>
        <v>57,</v>
      </c>
      <c r="D6" t="str">
        <f t="shared" ref="D6:D20" si="2">E6&amp;F6&amp;G6&amp;H6&amp;I6&amp;J6&amp;K6&amp;L6</f>
        <v>00111001</v>
      </c>
      <c r="E6">
        <v>0</v>
      </c>
      <c r="F6">
        <v>0</v>
      </c>
      <c r="G6">
        <v>1</v>
      </c>
      <c r="H6">
        <v>1</v>
      </c>
      <c r="I6">
        <v>1</v>
      </c>
      <c r="J6">
        <v>0</v>
      </c>
      <c r="K6">
        <v>0</v>
      </c>
      <c r="L6">
        <v>1</v>
      </c>
      <c r="M6">
        <v>1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11000000</v>
      </c>
      <c r="V6" t="str">
        <f t="shared" ref="V6:V20" si="4">Z6&amp;BIN2DEC(U6)&amp;X6</f>
        <v>192,</v>
      </c>
      <c r="W6" t="str">
        <f t="shared" ref="W6:W20" si="5">Z6&amp;Y6&amp;BIN2HEX(U6,2)&amp;X6</f>
        <v xml:space="preserve"> 0xC0,</v>
      </c>
      <c r="X6" t="s">
        <v>0</v>
      </c>
      <c r="Y6" t="s">
        <v>1</v>
      </c>
      <c r="AC6" t="str">
        <f t="shared" ref="AC6:AC20" si="6">BA6&amp;AZ6&amp;BIN2HEX(AE6,2)&amp;AY6</f>
        <v xml:space="preserve"> 0x0E,</v>
      </c>
      <c r="AD6" t="str">
        <f t="shared" ref="AD6:AD20" si="7">BA6&amp;BIN2DEC(AE6)&amp;AY6</f>
        <v>14,</v>
      </c>
      <c r="AE6" t="str">
        <f t="shared" ref="AE6:AE20" si="8">AF6&amp;AG6&amp;AH6&amp;AI6&amp;AJ6&amp;AK6&amp;AL6&amp;AM6</f>
        <v>00001110</v>
      </c>
      <c r="AF6">
        <v>0</v>
      </c>
      <c r="AG6">
        <v>0</v>
      </c>
      <c r="AH6">
        <v>0</v>
      </c>
      <c r="AI6">
        <v>0</v>
      </c>
      <c r="AJ6">
        <v>1</v>
      </c>
      <c r="AK6">
        <v>1</v>
      </c>
      <c r="AL6">
        <v>1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0xF8,</v>
      </c>
      <c r="BE6" t="str">
        <f t="shared" ref="BE6:BE20" si="13">CB6&amp;BIN2DEC(BF6)&amp;BZ6</f>
        <v>248,</v>
      </c>
      <c r="BF6" t="str">
        <f t="shared" ref="BF6:BF20" si="14">BG6&amp;BH6&amp;BI6&amp;BJ6&amp;BK6&amp;BL6&amp;BM6&amp;BN6</f>
        <v>11111000</v>
      </c>
      <c r="BG6">
        <v>1</v>
      </c>
      <c r="BH6">
        <v>1</v>
      </c>
      <c r="BI6">
        <v>1</v>
      </c>
      <c r="BJ6">
        <v>1</v>
      </c>
      <c r="BK6">
        <v>1</v>
      </c>
      <c r="BL6">
        <v>0</v>
      </c>
      <c r="BM6">
        <v>0</v>
      </c>
      <c r="BN6">
        <v>0</v>
      </c>
      <c r="BO6">
        <v>1</v>
      </c>
      <c r="BP6">
        <v>1</v>
      </c>
      <c r="BQ6">
        <v>1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11100000</v>
      </c>
      <c r="BX6" t="str">
        <f t="shared" ref="BX6:BX20" si="16">CB6&amp;BIN2DEC(BW6)&amp;BZ6</f>
        <v>224,</v>
      </c>
      <c r="BY6" t="str">
        <f t="shared" ref="BY6:BY20" si="17">CB6&amp;CA6&amp;BIN2HEX(BW6,2)&amp;BZ6</f>
        <v xml:space="preserve"> 0xE0,</v>
      </c>
      <c r="BZ6" t="s">
        <v>0</v>
      </c>
      <c r="CA6" t="s">
        <v>1</v>
      </c>
    </row>
    <row r="7" spans="1:80">
      <c r="B7" t="str">
        <f t="shared" si="0"/>
        <v xml:space="preserve"> 0x39,</v>
      </c>
      <c r="C7" t="str">
        <f t="shared" si="1"/>
        <v>57,</v>
      </c>
      <c r="D7" t="str">
        <f t="shared" si="2"/>
        <v>00111001</v>
      </c>
      <c r="E7">
        <v>0</v>
      </c>
      <c r="F7">
        <v>0</v>
      </c>
      <c r="G7">
        <v>1</v>
      </c>
      <c r="H7">
        <v>1</v>
      </c>
      <c r="I7">
        <v>1</v>
      </c>
      <c r="J7">
        <v>0</v>
      </c>
      <c r="K7">
        <v>0</v>
      </c>
      <c r="L7">
        <v>1</v>
      </c>
      <c r="M7">
        <v>1</v>
      </c>
      <c r="N7">
        <v>1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11000000</v>
      </c>
      <c r="V7" t="str">
        <f t="shared" si="4"/>
        <v>192,</v>
      </c>
      <c r="W7" t="str">
        <f t="shared" si="5"/>
        <v xml:space="preserve"> 0xC0,</v>
      </c>
      <c r="X7" t="s">
        <v>0</v>
      </c>
      <c r="Y7" t="s">
        <v>1</v>
      </c>
      <c r="AC7" t="str">
        <f t="shared" si="6"/>
        <v xml:space="preserve"> 0x7F,</v>
      </c>
      <c r="AD7" t="str">
        <f t="shared" si="7"/>
        <v>127,</v>
      </c>
      <c r="AE7" t="str">
        <f t="shared" si="8"/>
        <v>01111111</v>
      </c>
      <c r="AF7">
        <v>0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11000000</v>
      </c>
      <c r="AW7" t="str">
        <f t="shared" si="10"/>
        <v>192,</v>
      </c>
      <c r="AX7" t="str">
        <f t="shared" si="11"/>
        <v xml:space="preserve"> 0xC0,</v>
      </c>
      <c r="AY7" t="s">
        <v>0</v>
      </c>
      <c r="AZ7" t="s">
        <v>1</v>
      </c>
      <c r="BD7" t="str">
        <f t="shared" si="12"/>
        <v xml:space="preserve"> 0xD9,</v>
      </c>
      <c r="BE7" t="str">
        <f t="shared" si="13"/>
        <v>217,</v>
      </c>
      <c r="BF7" t="str">
        <f t="shared" si="14"/>
        <v>11011001</v>
      </c>
      <c r="BG7">
        <v>1</v>
      </c>
      <c r="BH7">
        <v>1</v>
      </c>
      <c r="BI7">
        <v>0</v>
      </c>
      <c r="BJ7">
        <v>1</v>
      </c>
      <c r="BK7">
        <v>1</v>
      </c>
      <c r="BL7">
        <v>0</v>
      </c>
      <c r="BM7">
        <v>0</v>
      </c>
      <c r="BN7">
        <v>1</v>
      </c>
      <c r="BO7">
        <v>1</v>
      </c>
      <c r="BP7">
        <v>1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11000000</v>
      </c>
      <c r="BX7" t="str">
        <f t="shared" si="16"/>
        <v>192,</v>
      </c>
      <c r="BY7" t="str">
        <f t="shared" si="17"/>
        <v xml:space="preserve"> 0xC0,</v>
      </c>
      <c r="BZ7" t="s">
        <v>0</v>
      </c>
      <c r="CA7" t="s">
        <v>1</v>
      </c>
    </row>
    <row r="8" spans="1:80">
      <c r="B8" t="str">
        <f t="shared" si="0"/>
        <v xml:space="preserve"> 0xFF,</v>
      </c>
      <c r="C8" t="str">
        <f t="shared" si="1"/>
        <v>255,</v>
      </c>
      <c r="D8" t="str">
        <f t="shared" si="2"/>
        <v>11111111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0</v>
      </c>
      <c r="U8" t="str">
        <f t="shared" si="3"/>
        <v>11110000</v>
      </c>
      <c r="V8" t="str">
        <f t="shared" si="4"/>
        <v>240,</v>
      </c>
      <c r="W8" t="str">
        <f t="shared" si="5"/>
        <v xml:space="preserve"> 0xF0,</v>
      </c>
      <c r="X8" t="s">
        <v>0</v>
      </c>
      <c r="Y8" t="s">
        <v>1</v>
      </c>
      <c r="AC8" t="str">
        <f t="shared" si="6"/>
        <v xml:space="preserve"> 0xFF,</v>
      </c>
      <c r="AD8" t="str">
        <f t="shared" si="7"/>
        <v>255,</v>
      </c>
      <c r="AE8" t="str">
        <f t="shared" si="8"/>
        <v>11111111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11100000</v>
      </c>
      <c r="AW8" t="str">
        <f t="shared" si="10"/>
        <v>224,</v>
      </c>
      <c r="AX8" t="str">
        <f t="shared" si="11"/>
        <v xml:space="preserve"> 0xE0,</v>
      </c>
      <c r="AY8" t="s">
        <v>0</v>
      </c>
      <c r="AZ8" t="s">
        <v>1</v>
      </c>
      <c r="BD8" t="str">
        <f t="shared" si="12"/>
        <v xml:space="preserve"> 0xF9,</v>
      </c>
      <c r="BE8" t="str">
        <f t="shared" si="13"/>
        <v>249,</v>
      </c>
      <c r="BF8" t="str">
        <f t="shared" si="14"/>
        <v>11111001</v>
      </c>
      <c r="BG8">
        <v>1</v>
      </c>
      <c r="BH8">
        <v>1</v>
      </c>
      <c r="BI8">
        <v>1</v>
      </c>
      <c r="BJ8">
        <v>1</v>
      </c>
      <c r="BK8">
        <v>1</v>
      </c>
      <c r="BL8">
        <v>0</v>
      </c>
      <c r="BM8">
        <v>0</v>
      </c>
      <c r="BN8">
        <v>1</v>
      </c>
      <c r="BO8">
        <v>1</v>
      </c>
      <c r="BP8">
        <v>1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11000000</v>
      </c>
      <c r="BX8" t="str">
        <f t="shared" si="16"/>
        <v>192,</v>
      </c>
      <c r="BY8" t="str">
        <f t="shared" si="17"/>
        <v xml:space="preserve"> 0xC0,</v>
      </c>
      <c r="BZ8" t="s">
        <v>0</v>
      </c>
      <c r="CA8" t="s">
        <v>1</v>
      </c>
    </row>
    <row r="9" spans="1:80">
      <c r="B9" t="str">
        <f t="shared" si="0"/>
        <v xml:space="preserve"> 0xFF,</v>
      </c>
      <c r="C9" t="str">
        <f t="shared" si="1"/>
        <v>255,</v>
      </c>
      <c r="D9" t="str">
        <f t="shared" si="2"/>
        <v>11111111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0</v>
      </c>
      <c r="R9">
        <v>0</v>
      </c>
      <c r="S9">
        <v>0</v>
      </c>
      <c r="T9">
        <v>0</v>
      </c>
      <c r="U9" t="str">
        <f t="shared" si="3"/>
        <v>11110000</v>
      </c>
      <c r="V9" t="str">
        <f t="shared" si="4"/>
        <v>240,</v>
      </c>
      <c r="W9" t="str">
        <f t="shared" si="5"/>
        <v xml:space="preserve"> 0xF0,</v>
      </c>
      <c r="X9" t="s">
        <v>0</v>
      </c>
      <c r="Y9" t="s">
        <v>1</v>
      </c>
      <c r="AC9" t="str">
        <f t="shared" si="6"/>
        <v xml:space="preserve"> 0xEE,</v>
      </c>
      <c r="AD9" t="str">
        <f t="shared" si="7"/>
        <v>238,</v>
      </c>
      <c r="AE9" t="str">
        <f t="shared" si="8"/>
        <v>11101110</v>
      </c>
      <c r="AF9">
        <v>1</v>
      </c>
      <c r="AG9">
        <v>1</v>
      </c>
      <c r="AH9">
        <v>1</v>
      </c>
      <c r="AI9">
        <v>0</v>
      </c>
      <c r="AJ9">
        <v>1</v>
      </c>
      <c r="AK9">
        <v>1</v>
      </c>
      <c r="AL9">
        <v>1</v>
      </c>
      <c r="AM9">
        <v>0</v>
      </c>
      <c r="AN9">
        <v>1</v>
      </c>
      <c r="AO9">
        <v>1</v>
      </c>
      <c r="AP9">
        <v>1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11100000</v>
      </c>
      <c r="AW9" t="str">
        <f t="shared" si="10"/>
        <v>224,</v>
      </c>
      <c r="AX9" t="str">
        <f t="shared" si="11"/>
        <v xml:space="preserve"> 0xE0,</v>
      </c>
      <c r="AY9" t="s">
        <v>0</v>
      </c>
      <c r="AZ9" t="s">
        <v>1</v>
      </c>
      <c r="BD9" t="str">
        <f t="shared" si="12"/>
        <v xml:space="preserve"> 0x73,</v>
      </c>
      <c r="BE9" t="str">
        <f t="shared" si="13"/>
        <v>115,</v>
      </c>
      <c r="BF9" t="str">
        <f t="shared" si="14"/>
        <v>01110011</v>
      </c>
      <c r="BG9">
        <v>0</v>
      </c>
      <c r="BH9">
        <v>1</v>
      </c>
      <c r="BI9">
        <v>1</v>
      </c>
      <c r="BJ9">
        <v>1</v>
      </c>
      <c r="BK9">
        <v>0</v>
      </c>
      <c r="BL9">
        <v>0</v>
      </c>
      <c r="BM9">
        <v>1</v>
      </c>
      <c r="BN9">
        <v>1</v>
      </c>
      <c r="BO9">
        <v>1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10000000</v>
      </c>
      <c r="BX9" t="str">
        <f t="shared" si="16"/>
        <v>128,</v>
      </c>
      <c r="BY9" t="str">
        <f t="shared" si="17"/>
        <v xml:space="preserve"> 0x80,</v>
      </c>
      <c r="BZ9" t="s">
        <v>0</v>
      </c>
      <c r="CA9" t="s">
        <v>1</v>
      </c>
    </row>
    <row r="10" spans="1:80">
      <c r="B10" t="str">
        <f t="shared" si="0"/>
        <v xml:space="preserve"> 0x39,</v>
      </c>
      <c r="C10" t="str">
        <f t="shared" si="1"/>
        <v>57,</v>
      </c>
      <c r="D10" t="str">
        <f t="shared" si="2"/>
        <v>00111001</v>
      </c>
      <c r="E10">
        <v>0</v>
      </c>
      <c r="F10">
        <v>0</v>
      </c>
      <c r="G10">
        <v>1</v>
      </c>
      <c r="H10">
        <v>1</v>
      </c>
      <c r="I10">
        <v>1</v>
      </c>
      <c r="J10">
        <v>0</v>
      </c>
      <c r="K10">
        <v>0</v>
      </c>
      <c r="L10">
        <v>1</v>
      </c>
      <c r="M10">
        <v>1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11000000</v>
      </c>
      <c r="V10" t="str">
        <f t="shared" si="4"/>
        <v>192,</v>
      </c>
      <c r="W10" t="str">
        <f t="shared" si="5"/>
        <v xml:space="preserve"> 0xC0,</v>
      </c>
      <c r="X10" t="s">
        <v>0</v>
      </c>
      <c r="Y10" t="s">
        <v>1</v>
      </c>
      <c r="AC10" t="str">
        <f t="shared" si="6"/>
        <v xml:space="preserve"> 0xEE,</v>
      </c>
      <c r="AD10" t="str">
        <f t="shared" si="7"/>
        <v>238,</v>
      </c>
      <c r="AE10" t="str">
        <f t="shared" si="8"/>
        <v>11101110</v>
      </c>
      <c r="AF10">
        <v>1</v>
      </c>
      <c r="AG10">
        <v>1</v>
      </c>
      <c r="AH10">
        <v>1</v>
      </c>
      <c r="AI10">
        <v>0</v>
      </c>
      <c r="AJ10">
        <v>1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0x03,</v>
      </c>
      <c r="BE10" t="str">
        <f t="shared" si="13"/>
        <v>3,</v>
      </c>
      <c r="BF10" t="str">
        <f t="shared" si="14"/>
        <v>00000011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1</v>
      </c>
      <c r="BO10">
        <v>1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10000000</v>
      </c>
      <c r="BX10" t="str">
        <f t="shared" si="16"/>
        <v>128,</v>
      </c>
      <c r="BY10" t="str">
        <f t="shared" si="17"/>
        <v xml:space="preserve"> 0x80,</v>
      </c>
      <c r="BZ10" t="s">
        <v>0</v>
      </c>
      <c r="CA10" t="s">
        <v>1</v>
      </c>
    </row>
    <row r="11" spans="1:80">
      <c r="B11" t="str">
        <f t="shared" si="0"/>
        <v xml:space="preserve"> 0x39,</v>
      </c>
      <c r="C11" t="str">
        <f t="shared" si="1"/>
        <v>57,</v>
      </c>
      <c r="D11" t="str">
        <f t="shared" si="2"/>
        <v>00111001</v>
      </c>
      <c r="E11">
        <v>0</v>
      </c>
      <c r="F11">
        <v>0</v>
      </c>
      <c r="G11">
        <v>1</v>
      </c>
      <c r="H11">
        <v>1</v>
      </c>
      <c r="I11">
        <v>1</v>
      </c>
      <c r="J11">
        <v>0</v>
      </c>
      <c r="K11">
        <v>0</v>
      </c>
      <c r="L11">
        <v>1</v>
      </c>
      <c r="M11">
        <v>1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11000000</v>
      </c>
      <c r="V11" t="str">
        <f t="shared" si="4"/>
        <v>192,</v>
      </c>
      <c r="W11" t="str">
        <f t="shared" si="5"/>
        <v xml:space="preserve"> 0xC0,</v>
      </c>
      <c r="X11" t="s">
        <v>0</v>
      </c>
      <c r="Y11" t="s">
        <v>1</v>
      </c>
      <c r="AC11" t="str">
        <f t="shared" si="6"/>
        <v xml:space="preserve"> 0xEE,</v>
      </c>
      <c r="AD11" t="str">
        <f t="shared" si="7"/>
        <v>238,</v>
      </c>
      <c r="AE11" t="str">
        <f t="shared" si="8"/>
        <v>11101110</v>
      </c>
      <c r="AF11">
        <v>1</v>
      </c>
      <c r="AG11">
        <v>1</v>
      </c>
      <c r="AH11">
        <v>1</v>
      </c>
      <c r="AI11">
        <v>0</v>
      </c>
      <c r="AJ11">
        <v>1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0x07,</v>
      </c>
      <c r="BE11" t="str">
        <f t="shared" si="13"/>
        <v>7,</v>
      </c>
      <c r="BF11" t="str">
        <f t="shared" si="14"/>
        <v>00000111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1</v>
      </c>
      <c r="BM11">
        <v>1</v>
      </c>
      <c r="BN11">
        <v>1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0x39,</v>
      </c>
      <c r="C12" t="str">
        <f t="shared" si="1"/>
        <v>57,</v>
      </c>
      <c r="D12" t="str">
        <f t="shared" si="2"/>
        <v>00111001</v>
      </c>
      <c r="E12">
        <v>0</v>
      </c>
      <c r="F12">
        <v>0</v>
      </c>
      <c r="G12">
        <v>1</v>
      </c>
      <c r="H12">
        <v>1</v>
      </c>
      <c r="I12">
        <v>1</v>
      </c>
      <c r="J12">
        <v>0</v>
      </c>
      <c r="K12">
        <v>0</v>
      </c>
      <c r="L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0xFF,</v>
      </c>
      <c r="AD12" t="str">
        <f t="shared" si="7"/>
        <v>255,</v>
      </c>
      <c r="AE12" t="str">
        <f t="shared" si="8"/>
        <v>11111111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11000000</v>
      </c>
      <c r="AW12" t="str">
        <f t="shared" si="10"/>
        <v>192,</v>
      </c>
      <c r="AX12" t="str">
        <f t="shared" si="11"/>
        <v xml:space="preserve"> 0xC0,</v>
      </c>
      <c r="AY12" t="s">
        <v>0</v>
      </c>
      <c r="AZ12" t="s">
        <v>1</v>
      </c>
      <c r="BD12" t="str">
        <f t="shared" si="12"/>
        <v xml:space="preserve"> 0x07,</v>
      </c>
      <c r="BE12" t="str">
        <f t="shared" si="13"/>
        <v>7,</v>
      </c>
      <c r="BF12" t="str">
        <f t="shared" si="14"/>
        <v>00000111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1</v>
      </c>
      <c r="BM12">
        <v>1</v>
      </c>
      <c r="BN12">
        <v>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0x39,</v>
      </c>
      <c r="C13" t="str">
        <f t="shared" si="1"/>
        <v>57,</v>
      </c>
      <c r="D13" t="str">
        <f t="shared" si="2"/>
        <v>00111001</v>
      </c>
      <c r="E13">
        <v>0</v>
      </c>
      <c r="F13">
        <v>0</v>
      </c>
      <c r="G13">
        <v>1</v>
      </c>
      <c r="H13">
        <v>1</v>
      </c>
      <c r="I13">
        <v>1</v>
      </c>
      <c r="J13">
        <v>0</v>
      </c>
      <c r="K13">
        <v>0</v>
      </c>
      <c r="L13">
        <v>1</v>
      </c>
      <c r="M13">
        <v>1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11000000</v>
      </c>
      <c r="V13" t="str">
        <f t="shared" si="4"/>
        <v>192,</v>
      </c>
      <c r="W13" t="str">
        <f t="shared" si="5"/>
        <v xml:space="preserve"> 0xC0,</v>
      </c>
      <c r="X13" t="s">
        <v>0</v>
      </c>
      <c r="Y13" t="s">
        <v>1</v>
      </c>
      <c r="AC13" t="str">
        <f t="shared" si="6"/>
        <v xml:space="preserve"> 0x7F,</v>
      </c>
      <c r="AD13" t="str">
        <f t="shared" si="7"/>
        <v>127,</v>
      </c>
      <c r="AE13" t="str">
        <f t="shared" si="8"/>
        <v>01111111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11100000</v>
      </c>
      <c r="AW13" t="str">
        <f t="shared" si="10"/>
        <v>224,</v>
      </c>
      <c r="AX13" t="str">
        <f t="shared" si="11"/>
        <v xml:space="preserve"> 0xE0,</v>
      </c>
      <c r="AY13" t="s">
        <v>0</v>
      </c>
      <c r="AZ13" t="s">
        <v>1</v>
      </c>
      <c r="BD13" t="str">
        <f t="shared" si="12"/>
        <v xml:space="preserve"> 0x0E,</v>
      </c>
      <c r="BE13" t="str">
        <f t="shared" si="13"/>
        <v>14,</v>
      </c>
      <c r="BF13" t="str">
        <f t="shared" si="14"/>
        <v>00001110</v>
      </c>
      <c r="BG13">
        <v>0</v>
      </c>
      <c r="BH13">
        <v>0</v>
      </c>
      <c r="BI13">
        <v>0</v>
      </c>
      <c r="BJ13">
        <v>0</v>
      </c>
      <c r="BK13">
        <v>1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0x39,</v>
      </c>
      <c r="C14" t="str">
        <f t="shared" si="1"/>
        <v>57,</v>
      </c>
      <c r="D14" t="str">
        <f t="shared" si="2"/>
        <v>00111001</v>
      </c>
      <c r="E14">
        <v>0</v>
      </c>
      <c r="F14">
        <v>0</v>
      </c>
      <c r="G14">
        <v>1</v>
      </c>
      <c r="H14">
        <v>1</v>
      </c>
      <c r="I14">
        <v>1</v>
      </c>
      <c r="J14">
        <v>0</v>
      </c>
      <c r="K14">
        <v>0</v>
      </c>
      <c r="L14">
        <v>1</v>
      </c>
      <c r="M14">
        <v>1</v>
      </c>
      <c r="N14">
        <v>1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11000000</v>
      </c>
      <c r="V14" t="str">
        <f t="shared" si="4"/>
        <v>192,</v>
      </c>
      <c r="W14" t="str">
        <f t="shared" si="5"/>
        <v xml:space="preserve"> 0xC0,</v>
      </c>
      <c r="X14" t="s">
        <v>0</v>
      </c>
      <c r="Y14" t="s">
        <v>1</v>
      </c>
      <c r="AC14" t="str">
        <f t="shared" si="6"/>
        <v xml:space="preserve"> 0x0E,</v>
      </c>
      <c r="AD14" t="str">
        <f t="shared" si="7"/>
        <v>14,</v>
      </c>
      <c r="AE14" t="str">
        <f t="shared" si="8"/>
        <v>00001110</v>
      </c>
      <c r="AF14">
        <v>0</v>
      </c>
      <c r="AG14">
        <v>0</v>
      </c>
      <c r="AH14">
        <v>0</v>
      </c>
      <c r="AI14">
        <v>0</v>
      </c>
      <c r="AJ14">
        <v>1</v>
      </c>
      <c r="AK14">
        <v>1</v>
      </c>
      <c r="AL14">
        <v>1</v>
      </c>
      <c r="AM14">
        <v>0</v>
      </c>
      <c r="AN14">
        <v>1</v>
      </c>
      <c r="AO14">
        <v>1</v>
      </c>
      <c r="AP14">
        <v>1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11100000</v>
      </c>
      <c r="AW14" t="str">
        <f t="shared" si="10"/>
        <v>224,</v>
      </c>
      <c r="AX14" t="str">
        <f t="shared" si="11"/>
        <v xml:space="preserve"> 0xE0,</v>
      </c>
      <c r="AY14" t="s">
        <v>0</v>
      </c>
      <c r="AZ14" t="s">
        <v>1</v>
      </c>
      <c r="BD14" t="str">
        <f t="shared" si="12"/>
        <v xml:space="preserve"> 0x0E,</v>
      </c>
      <c r="BE14" t="str">
        <f t="shared" si="13"/>
        <v>14,</v>
      </c>
      <c r="BF14" t="str">
        <f t="shared" si="14"/>
        <v>00001110</v>
      </c>
      <c r="BG14">
        <v>0</v>
      </c>
      <c r="BH14">
        <v>0</v>
      </c>
      <c r="BI14">
        <v>0</v>
      </c>
      <c r="BJ14">
        <v>0</v>
      </c>
      <c r="BK14">
        <v>1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0x39,</v>
      </c>
      <c r="C15" t="str">
        <f t="shared" si="1"/>
        <v>57,</v>
      </c>
      <c r="D15" t="str">
        <f t="shared" si="2"/>
        <v>00111001</v>
      </c>
      <c r="E15">
        <v>0</v>
      </c>
      <c r="F15">
        <v>0</v>
      </c>
      <c r="G15">
        <v>1</v>
      </c>
      <c r="H15">
        <v>1</v>
      </c>
      <c r="I15">
        <v>1</v>
      </c>
      <c r="J15">
        <v>0</v>
      </c>
      <c r="K15">
        <v>0</v>
      </c>
      <c r="L15">
        <v>1</v>
      </c>
      <c r="M15">
        <v>1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11000000</v>
      </c>
      <c r="V15" t="str">
        <f t="shared" si="4"/>
        <v>192,</v>
      </c>
      <c r="W15" t="str">
        <f t="shared" si="5"/>
        <v xml:space="preserve"> 0xC0,</v>
      </c>
      <c r="X15" t="s">
        <v>0</v>
      </c>
      <c r="Y15" t="s">
        <v>1</v>
      </c>
      <c r="AC15" t="str">
        <f t="shared" si="6"/>
        <v xml:space="preserve"> 0x0E,</v>
      </c>
      <c r="AD15" t="str">
        <f t="shared" si="7"/>
        <v>14,</v>
      </c>
      <c r="AE15" t="str">
        <f t="shared" si="8"/>
        <v>00001110</v>
      </c>
      <c r="AF15">
        <v>0</v>
      </c>
      <c r="AG15">
        <v>0</v>
      </c>
      <c r="AH15">
        <v>0</v>
      </c>
      <c r="AI15">
        <v>0</v>
      </c>
      <c r="AJ15">
        <v>1</v>
      </c>
      <c r="AK15">
        <v>1</v>
      </c>
      <c r="AL15">
        <v>1</v>
      </c>
      <c r="AM15">
        <v>0</v>
      </c>
      <c r="AN15">
        <v>1</v>
      </c>
      <c r="AO15">
        <v>1</v>
      </c>
      <c r="AP15">
        <v>1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11100000</v>
      </c>
      <c r="AW15" t="str">
        <f t="shared" si="10"/>
        <v>224,</v>
      </c>
      <c r="AX15" t="str">
        <f t="shared" si="11"/>
        <v xml:space="preserve"> 0xE0,</v>
      </c>
      <c r="AY15" t="s">
        <v>0</v>
      </c>
      <c r="AZ15" t="s">
        <v>1</v>
      </c>
      <c r="BD15" t="str">
        <f t="shared" si="12"/>
        <v xml:space="preserve"> 0x1C,</v>
      </c>
      <c r="BE15" t="str">
        <f t="shared" si="13"/>
        <v>28,</v>
      </c>
      <c r="BF15" t="str">
        <f t="shared" si="14"/>
        <v>00011100</v>
      </c>
      <c r="BG15">
        <v>0</v>
      </c>
      <c r="BH15">
        <v>0</v>
      </c>
      <c r="BI15">
        <v>0</v>
      </c>
      <c r="BJ15">
        <v>1</v>
      </c>
      <c r="BK15">
        <v>1</v>
      </c>
      <c r="BL15">
        <v>1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0xFF,</v>
      </c>
      <c r="C16" t="str">
        <f t="shared" si="1"/>
        <v>255,</v>
      </c>
      <c r="D16" t="str">
        <f t="shared" si="2"/>
        <v>11111111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0</v>
      </c>
      <c r="R16">
        <v>0</v>
      </c>
      <c r="S16">
        <v>0</v>
      </c>
      <c r="T16">
        <v>0</v>
      </c>
      <c r="U16" t="str">
        <f t="shared" si="3"/>
        <v>11110000</v>
      </c>
      <c r="V16" t="str">
        <f t="shared" si="4"/>
        <v>240,</v>
      </c>
      <c r="W16" t="str">
        <f t="shared" si="5"/>
        <v xml:space="preserve"> 0xF0,</v>
      </c>
      <c r="X16" t="s">
        <v>0</v>
      </c>
      <c r="Y16" t="s">
        <v>1</v>
      </c>
      <c r="AC16" t="str">
        <f t="shared" si="6"/>
        <v xml:space="preserve"> 0xEE,</v>
      </c>
      <c r="AD16" t="str">
        <f t="shared" si="7"/>
        <v>238,</v>
      </c>
      <c r="AE16" t="str">
        <f t="shared" si="8"/>
        <v>11101110</v>
      </c>
      <c r="AF16">
        <v>1</v>
      </c>
      <c r="AG16">
        <v>1</v>
      </c>
      <c r="AH16">
        <v>1</v>
      </c>
      <c r="AI16">
        <v>0</v>
      </c>
      <c r="AJ16">
        <v>1</v>
      </c>
      <c r="AK16">
        <v>1</v>
      </c>
      <c r="AL16">
        <v>1</v>
      </c>
      <c r="AM16">
        <v>0</v>
      </c>
      <c r="AN16">
        <v>1</v>
      </c>
      <c r="AO16">
        <v>1</v>
      </c>
      <c r="AP16">
        <v>1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11100000</v>
      </c>
      <c r="AW16" t="str">
        <f t="shared" si="10"/>
        <v>224,</v>
      </c>
      <c r="AX16" t="str">
        <f t="shared" si="11"/>
        <v xml:space="preserve"> 0xE0,</v>
      </c>
      <c r="AY16" t="s">
        <v>0</v>
      </c>
      <c r="AZ16" t="s">
        <v>1</v>
      </c>
      <c r="BD16" t="str">
        <f t="shared" si="12"/>
        <v xml:space="preserve"> 0x1C,</v>
      </c>
      <c r="BE16" t="str">
        <f t="shared" si="13"/>
        <v>28,</v>
      </c>
      <c r="BF16" t="str">
        <f t="shared" si="14"/>
        <v>00011100</v>
      </c>
      <c r="BG16">
        <v>0</v>
      </c>
      <c r="BH16">
        <v>0</v>
      </c>
      <c r="BI16">
        <v>0</v>
      </c>
      <c r="BJ16">
        <v>1</v>
      </c>
      <c r="BK16">
        <v>1</v>
      </c>
      <c r="BL16">
        <v>1</v>
      </c>
      <c r="BM16">
        <v>0</v>
      </c>
      <c r="BN16">
        <v>0</v>
      </c>
      <c r="BO16">
        <v>1</v>
      </c>
      <c r="BP16">
        <v>1</v>
      </c>
      <c r="BQ16">
        <v>1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11100000</v>
      </c>
      <c r="BX16" t="str">
        <f t="shared" si="16"/>
        <v>224,</v>
      </c>
      <c r="BY16" t="str">
        <f t="shared" si="17"/>
        <v xml:space="preserve"> 0xE0,</v>
      </c>
      <c r="BZ16" t="s">
        <v>0</v>
      </c>
      <c r="CA16" t="s">
        <v>1</v>
      </c>
    </row>
    <row r="17" spans="1:79">
      <c r="B17" t="str">
        <f t="shared" si="0"/>
        <v xml:space="preserve"> 0xFF,</v>
      </c>
      <c r="C17" t="str">
        <f t="shared" si="1"/>
        <v>255,</v>
      </c>
      <c r="D17" t="str">
        <f t="shared" si="2"/>
        <v>11111111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0</v>
      </c>
      <c r="R17">
        <v>0</v>
      </c>
      <c r="S17">
        <v>0</v>
      </c>
      <c r="T17">
        <v>0</v>
      </c>
      <c r="U17" t="str">
        <f t="shared" si="3"/>
        <v>11110000</v>
      </c>
      <c r="V17" t="str">
        <f t="shared" si="4"/>
        <v>240,</v>
      </c>
      <c r="W17" t="str">
        <f t="shared" si="5"/>
        <v xml:space="preserve"> 0xF0,</v>
      </c>
      <c r="X17" t="s">
        <v>0</v>
      </c>
      <c r="Y17" t="s">
        <v>1</v>
      </c>
      <c r="AC17" t="str">
        <f t="shared" si="6"/>
        <v xml:space="preserve"> 0xFF,</v>
      </c>
      <c r="AD17" t="str">
        <f t="shared" si="7"/>
        <v>255,</v>
      </c>
      <c r="AE17" t="str">
        <f t="shared" si="8"/>
        <v>11111111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11100000</v>
      </c>
      <c r="AW17" t="str">
        <f t="shared" si="10"/>
        <v>224,</v>
      </c>
      <c r="AX17" t="str">
        <f t="shared" si="11"/>
        <v xml:space="preserve"> 0xE0,</v>
      </c>
      <c r="AY17" t="s">
        <v>0</v>
      </c>
      <c r="AZ17" t="s">
        <v>1</v>
      </c>
      <c r="BD17" t="str">
        <f t="shared" si="12"/>
        <v xml:space="preserve"> 0x39,</v>
      </c>
      <c r="BE17" t="str">
        <f t="shared" si="13"/>
        <v>57,</v>
      </c>
      <c r="BF17" t="str">
        <f t="shared" si="14"/>
        <v>00111001</v>
      </c>
      <c r="BG17">
        <v>0</v>
      </c>
      <c r="BH17">
        <v>0</v>
      </c>
      <c r="BI17">
        <v>1</v>
      </c>
      <c r="BJ17">
        <v>1</v>
      </c>
      <c r="BK17">
        <v>1</v>
      </c>
      <c r="BL17">
        <v>0</v>
      </c>
      <c r="BM17">
        <v>0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0</v>
      </c>
      <c r="BT17">
        <v>0</v>
      </c>
      <c r="BU17">
        <v>0</v>
      </c>
      <c r="BV17">
        <v>0</v>
      </c>
      <c r="BW17" t="str">
        <f t="shared" si="15"/>
        <v>11110000</v>
      </c>
      <c r="BX17" t="str">
        <f t="shared" si="16"/>
        <v>240,</v>
      </c>
      <c r="BY17" t="str">
        <f t="shared" si="17"/>
        <v xml:space="preserve"> 0xF0,</v>
      </c>
      <c r="BZ17" t="s">
        <v>0</v>
      </c>
      <c r="CA17" t="s">
        <v>1</v>
      </c>
    </row>
    <row r="18" spans="1:79">
      <c r="B18" t="str">
        <f t="shared" si="0"/>
        <v xml:space="preserve"> 0x39,</v>
      </c>
      <c r="C18" t="str">
        <f t="shared" si="1"/>
        <v>57,</v>
      </c>
      <c r="D18" t="str">
        <f t="shared" si="2"/>
        <v>00111001</v>
      </c>
      <c r="E18">
        <v>0</v>
      </c>
      <c r="F18">
        <v>0</v>
      </c>
      <c r="G18">
        <v>1</v>
      </c>
      <c r="H18">
        <v>1</v>
      </c>
      <c r="I18">
        <v>1</v>
      </c>
      <c r="J18">
        <v>0</v>
      </c>
      <c r="K18">
        <v>0</v>
      </c>
      <c r="L18">
        <v>1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11000000</v>
      </c>
      <c r="V18" t="str">
        <f t="shared" si="4"/>
        <v>192,</v>
      </c>
      <c r="W18" t="str">
        <f t="shared" si="5"/>
        <v xml:space="preserve"> 0xC0,</v>
      </c>
      <c r="X18" t="s">
        <v>0</v>
      </c>
      <c r="Y18" t="s">
        <v>1</v>
      </c>
      <c r="AC18" t="str">
        <f t="shared" si="6"/>
        <v xml:space="preserve"> 0x7F,</v>
      </c>
      <c r="AD18" t="str">
        <f t="shared" si="7"/>
        <v>127,</v>
      </c>
      <c r="AE18" t="str">
        <f t="shared" si="8"/>
        <v>01111111</v>
      </c>
      <c r="AF18">
        <v>0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11000000</v>
      </c>
      <c r="AW18" t="str">
        <f t="shared" si="10"/>
        <v>192,</v>
      </c>
      <c r="AX18" t="str">
        <f t="shared" si="11"/>
        <v xml:space="preserve"> 0xC0,</v>
      </c>
      <c r="AY18" t="s">
        <v>0</v>
      </c>
      <c r="AZ18" t="s">
        <v>1</v>
      </c>
      <c r="BD18" t="str">
        <f t="shared" si="12"/>
        <v xml:space="preserve"> 0x39,</v>
      </c>
      <c r="BE18" t="str">
        <f t="shared" si="13"/>
        <v>57,</v>
      </c>
      <c r="BF18" t="str">
        <f t="shared" si="14"/>
        <v>00111001</v>
      </c>
      <c r="BG18">
        <v>0</v>
      </c>
      <c r="BH18">
        <v>0</v>
      </c>
      <c r="BI18">
        <v>1</v>
      </c>
      <c r="BJ18">
        <v>1</v>
      </c>
      <c r="BK18">
        <v>1</v>
      </c>
      <c r="BL18">
        <v>0</v>
      </c>
      <c r="BM18">
        <v>0</v>
      </c>
      <c r="BN18">
        <v>1</v>
      </c>
      <c r="BO18">
        <v>1</v>
      </c>
      <c r="BP18">
        <v>0</v>
      </c>
      <c r="BQ18">
        <v>1</v>
      </c>
      <c r="BR18">
        <v>1</v>
      </c>
      <c r="BS18">
        <v>0</v>
      </c>
      <c r="BT18">
        <v>0</v>
      </c>
      <c r="BU18">
        <v>0</v>
      </c>
      <c r="BV18">
        <v>0</v>
      </c>
      <c r="BW18" t="str">
        <f t="shared" si="15"/>
        <v>10110000</v>
      </c>
      <c r="BX18" t="str">
        <f t="shared" si="16"/>
        <v>176,</v>
      </c>
      <c r="BY18" t="str">
        <f t="shared" si="17"/>
        <v xml:space="preserve"> 0xB0,</v>
      </c>
      <c r="BZ18" t="s">
        <v>0</v>
      </c>
      <c r="CA18" t="s">
        <v>1</v>
      </c>
    </row>
    <row r="19" spans="1:79">
      <c r="B19" t="str">
        <f t="shared" si="0"/>
        <v xml:space="preserve"> 0x39,</v>
      </c>
      <c r="C19" t="str">
        <f t="shared" si="1"/>
        <v>57,</v>
      </c>
      <c r="D19" t="str">
        <f t="shared" si="2"/>
        <v>00111001</v>
      </c>
      <c r="E19">
        <v>0</v>
      </c>
      <c r="F19">
        <v>0</v>
      </c>
      <c r="G19">
        <v>1</v>
      </c>
      <c r="H19">
        <v>1</v>
      </c>
      <c r="I19">
        <v>1</v>
      </c>
      <c r="J19">
        <v>0</v>
      </c>
      <c r="K19">
        <v>0</v>
      </c>
      <c r="L19">
        <v>1</v>
      </c>
      <c r="M19">
        <v>1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11000000</v>
      </c>
      <c r="V19" t="str">
        <f t="shared" si="4"/>
        <v>192,</v>
      </c>
      <c r="W19" t="str">
        <f t="shared" si="5"/>
        <v xml:space="preserve"> 0xC0,</v>
      </c>
      <c r="X19" t="s">
        <v>0</v>
      </c>
      <c r="Y19" t="s">
        <v>1</v>
      </c>
      <c r="AC19" t="str">
        <f t="shared" si="6"/>
        <v xml:space="preserve"> 0x0E,</v>
      </c>
      <c r="AD19" t="str">
        <f t="shared" si="7"/>
        <v>14,</v>
      </c>
      <c r="AE19" t="str">
        <f t="shared" si="8"/>
        <v>00001110</v>
      </c>
      <c r="AF19">
        <v>0</v>
      </c>
      <c r="AG19">
        <v>0</v>
      </c>
      <c r="AH19">
        <v>0</v>
      </c>
      <c r="AI19">
        <v>0</v>
      </c>
      <c r="AJ19">
        <v>1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0x71,</v>
      </c>
      <c r="BE19" t="str">
        <f t="shared" si="13"/>
        <v>113,</v>
      </c>
      <c r="BF19" t="str">
        <f t="shared" si="14"/>
        <v>01110001</v>
      </c>
      <c r="BG19">
        <v>0</v>
      </c>
      <c r="BH19">
        <v>1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1</v>
      </c>
      <c r="BO19">
        <v>1</v>
      </c>
      <c r="BP19">
        <v>1</v>
      </c>
      <c r="BQ19">
        <v>1</v>
      </c>
      <c r="BR19">
        <v>1</v>
      </c>
      <c r="BS19">
        <v>0</v>
      </c>
      <c r="BT19">
        <v>0</v>
      </c>
      <c r="BU19">
        <v>0</v>
      </c>
      <c r="BV19">
        <v>0</v>
      </c>
      <c r="BW19" t="str">
        <f t="shared" si="15"/>
        <v>11110000</v>
      </c>
      <c r="BX19" t="str">
        <f t="shared" si="16"/>
        <v>240,</v>
      </c>
      <c r="BY19" t="str">
        <f t="shared" si="17"/>
        <v xml:space="preserve"> 0xF0,</v>
      </c>
      <c r="BZ19" t="s">
        <v>0</v>
      </c>
      <c r="CA19" t="s">
        <v>1</v>
      </c>
    </row>
    <row r="20" spans="1:79">
      <c r="B20" t="str">
        <f t="shared" si="0"/>
        <v xml:space="preserve"> 0x39,</v>
      </c>
      <c r="C20" t="str">
        <f t="shared" si="1"/>
        <v>57,</v>
      </c>
      <c r="D20" t="str">
        <f t="shared" si="2"/>
        <v>00111001</v>
      </c>
      <c r="E20">
        <v>0</v>
      </c>
      <c r="F20">
        <v>0</v>
      </c>
      <c r="G20">
        <v>1</v>
      </c>
      <c r="H20">
        <v>1</v>
      </c>
      <c r="I20">
        <v>1</v>
      </c>
      <c r="J20">
        <v>0</v>
      </c>
      <c r="K20">
        <v>0</v>
      </c>
      <c r="L20">
        <v>1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11000000</v>
      </c>
      <c r="V20" t="str">
        <f t="shared" si="4"/>
        <v>192,</v>
      </c>
      <c r="W20" t="str">
        <f t="shared" si="5"/>
        <v xml:space="preserve"> 0xC0,</v>
      </c>
      <c r="X20" t="s">
        <v>0</v>
      </c>
      <c r="Y20" t="s">
        <v>1</v>
      </c>
      <c r="AC20" t="str">
        <f t="shared" si="6"/>
        <v xml:space="preserve"> 0x0E,</v>
      </c>
      <c r="AD20" t="str">
        <f t="shared" si="7"/>
        <v>14,</v>
      </c>
      <c r="AE20" t="str">
        <f t="shared" si="8"/>
        <v>00001110</v>
      </c>
      <c r="AF20">
        <v>0</v>
      </c>
      <c r="AG20">
        <v>0</v>
      </c>
      <c r="AH20">
        <v>0</v>
      </c>
      <c r="AI20">
        <v>0</v>
      </c>
      <c r="AJ20">
        <v>1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0x70,</v>
      </c>
      <c r="BE20" t="str">
        <f t="shared" si="13"/>
        <v>112,</v>
      </c>
      <c r="BF20" t="str">
        <f t="shared" si="14"/>
        <v>01110000</v>
      </c>
      <c r="BG20">
        <v>0</v>
      </c>
      <c r="BH20">
        <v>1</v>
      </c>
      <c r="BI20">
        <v>1</v>
      </c>
      <c r="BJ20">
        <v>1</v>
      </c>
      <c r="BK20">
        <v>0</v>
      </c>
      <c r="BL20">
        <v>0</v>
      </c>
      <c r="BM20">
        <v>0</v>
      </c>
      <c r="BN20">
        <v>0</v>
      </c>
      <c r="BO20">
        <v>1</v>
      </c>
      <c r="BP20">
        <v>1</v>
      </c>
      <c r="BQ20">
        <v>1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11100000</v>
      </c>
      <c r="BX20" t="str">
        <f t="shared" si="16"/>
        <v>224,</v>
      </c>
      <c r="BY20" t="str">
        <f t="shared" si="17"/>
        <v xml:space="preserve"> 0xE0,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1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12,</v>
      </c>
      <c r="V22" t="str">
        <f>Y20&amp;DEC2HEX(U22,2)&amp;X20</f>
        <v xml:space="preserve"> 0x0C,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11,</v>
      </c>
      <c r="AW22" t="str">
        <f>AZ20&amp;DEC2HEX(AV22,2)&amp;AY20</f>
        <v xml:space="preserve"> 0x0B,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1</v>
      </c>
      <c r="BR22">
        <f t="shared" si="20"/>
        <v>1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12,</v>
      </c>
      <c r="BX22" t="str">
        <f>CA20&amp;DEC2HEX(BW22,2)&amp;BZ20</f>
        <v xml:space="preserve"> 0x0C,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12,57,192,57,192,57,192,255,240,255,240,57,192,57,192,57,192,57,192,57,192,57,192,255,240,255,240,57,192,57,192,57,192,//#//35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11,14,0,14,0,127,192,255,224,238,224,238,0,238,0,255,192,127,224,14,224,14,224,238,224,255,224,127,192,14,0,14,0,//$//36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12,112,224,248,224,217,192,249,192,115,128,3,128,7,0,7,0,14,0,14,0,28,0,28,224,57,240,57,176,113,240,112,224,//%//37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0x0C, 0x39, 0xC0, 0x39, 0xC0, 0x39, 0xC0, 0xFF, 0xF0, 0xFF, 0xF0, 0x39, 0xC0, 0x39, 0xC0, 0x39, 0xC0, 0x39, 0xC0, 0x39, 0xC0, 0x39, 0xC0, 0xFF, 0xF0, 0xFF, 0xF0, 0x39, 0xC0, 0x39, 0xC0, 0x39, 0xC0,//#//35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0x0B, 0x0E, 0x00, 0x0E, 0x00, 0x7F, 0xC0, 0xFF, 0xE0, 0xEE, 0xE0, 0xEE, 0x00, 0xEE, 0x00, 0xFF, 0xC0, 0x7F, 0xE0, 0x0E, 0xE0, 0x0E, 0xE0, 0xEE, 0xE0, 0xFF, 0xE0, 0x7F, 0xC0, 0x0E, 0x00, 0x0E, 0x00,//$//36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0x0C, 0x70, 0xE0, 0xF8, 0xE0, 0xD9, 0xC0, 0xF9, 0xC0, 0x73, 0x80, 0x03, 0x80, 0x07, 0x00, 0x07, 0x00, 0x0E, 0x00, 0x0E, 0x00, 0x1C, 0x00, 0x1C, 0xE0, 0x39, 0xF0, 0x39, 0xB0, 0x71, 0xF0, 0x70, 0xE0,//%//37</v>
      </c>
    </row>
    <row r="28" spans="1:79">
      <c r="A28" s="1" t="str">
        <f>$B$24</f>
        <v>12,57,192,57,192,57,192,255,240,255,240,57,192,57,192,57,192,57,192,57,192,57,192,255,240,255,240,57,192,57,192,57,192,//#//35</v>
      </c>
      <c r="E28" t="s">
        <v>4</v>
      </c>
      <c r="AB28" s="1" t="str">
        <f>$AC$24</f>
        <v>11,14,0,14,0,127,192,255,224,238,224,238,0,238,0,255,192,127,224,14,224,14,224,238,224,255,224,127,192,14,0,14,0,//$//36</v>
      </c>
      <c r="AF28" t="s">
        <v>4</v>
      </c>
      <c r="BC28" s="1" t="str">
        <f>$BD$24</f>
        <v>12,112,224,248,224,217,192,249,192,115,128,3,128,7,0,7,0,14,0,14,0,28,0,28,224,57,240,57,176,113,240,112,224,//%//37</v>
      </c>
      <c r="BG28" t="s">
        <v>4</v>
      </c>
    </row>
    <row r="29" spans="1:79">
      <c r="A29" s="2" t="str">
        <f>$B$25</f>
        <v xml:space="preserve"> 0x0C, 0x39, 0xC0, 0x39, 0xC0, 0x39, 0xC0, 0xFF, 0xF0, 0xFF, 0xF0, 0x39, 0xC0, 0x39, 0xC0, 0x39, 0xC0, 0x39, 0xC0, 0x39, 0xC0, 0x39, 0xC0, 0xFF, 0xF0, 0xFF, 0xF0, 0x39, 0xC0, 0x39, 0xC0, 0x39, 0xC0,//#//35</v>
      </c>
      <c r="E29" t="s">
        <v>3</v>
      </c>
      <c r="AB29" s="2" t="str">
        <f>$AC$25</f>
        <v xml:space="preserve"> 0x0B, 0x0E, 0x00, 0x0E, 0x00, 0x7F, 0xC0, 0xFF, 0xE0, 0xEE, 0xE0, 0xEE, 0x00, 0xEE, 0x00, 0xFF, 0xC0, 0x7F, 0xE0, 0x0E, 0xE0, 0x0E, 0xE0, 0xEE, 0xE0, 0xFF, 0xE0, 0x7F, 0xC0, 0x0E, 0x00, 0x0E, 0x00,//$//36</v>
      </c>
      <c r="AF29" t="s">
        <v>3</v>
      </c>
      <c r="BC29" s="2" t="str">
        <f>$BD$25</f>
        <v xml:space="preserve"> 0x0C, 0x70, 0xE0, 0xF8, 0xE0, 0xD9, 0xC0, 0xF9, 0xC0, 0x73, 0x80, 0x03, 0x80, 0x07, 0x00, 0x07, 0x00, 0x0E, 0x00, 0x0E, 0x00, 0x1C, 0x00, 0x1C, 0xE0, 0x39, 0xF0, 0x39, 0xB0, 0x71, 0xF0, 0x70, 0xE0,//%//37</v>
      </c>
      <c r="BG29" t="s">
        <v>3</v>
      </c>
    </row>
  </sheetData>
  <conditionalFormatting sqref="E5:T20">
    <cfRule type="colorScale" priority="5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E5:T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10"/>
  <dimension ref="A4:CB29"/>
  <sheetViews>
    <sheetView topLeftCell="A3" workbookViewId="0">
      <selection activeCell="I32" sqref="I32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38</v>
      </c>
      <c r="Z4" t="s">
        <v>5</v>
      </c>
      <c r="AB4" s="3">
        <v>39</v>
      </c>
      <c r="BA4" t="s">
        <v>5</v>
      </c>
      <c r="BC4" s="3">
        <v>40</v>
      </c>
      <c r="CB4" t="s">
        <v>5</v>
      </c>
    </row>
    <row r="5" spans="1:80">
      <c r="A5" s="3" t="s">
        <v>222</v>
      </c>
      <c r="B5" t="str">
        <f>Z5&amp;Y5&amp;BIN2HEX(D5,2)&amp;X5</f>
        <v xml:space="preserve"> 0x1E,</v>
      </c>
      <c r="C5" t="str">
        <f>Z5&amp;BIN2DEC(D5)&amp;X5</f>
        <v>30,</v>
      </c>
      <c r="D5" t="str">
        <f>E5&amp;F5&amp;G5&amp;H5&amp;I5&amp;J5&amp;K5&amp;L5</f>
        <v>00011110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8" t="s">
        <v>223</v>
      </c>
      <c r="AC5" t="str">
        <f>BA5&amp;AZ5&amp;BIN2HEX(AE5,2)&amp;AY5</f>
        <v xml:space="preserve"> 0xE0,</v>
      </c>
      <c r="AD5" t="str">
        <f>BA5&amp;BIN2DEC(AE5)&amp;AY5</f>
        <v>224,</v>
      </c>
      <c r="AE5" t="str">
        <f>AF5&amp;AG5&amp;AH5&amp;AI5&amp;AJ5&amp;AK5&amp;AL5&amp;AM5</f>
        <v>11100000</v>
      </c>
      <c r="AF5">
        <v>1</v>
      </c>
      <c r="AG5">
        <v>1</v>
      </c>
      <c r="AH5">
        <v>1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224</v>
      </c>
      <c r="BD5" t="str">
        <f>CB5&amp;CA5&amp;BIN2HEX(BF5,2)&amp;BZ5</f>
        <v xml:space="preserve"> 0x38,</v>
      </c>
      <c r="BE5" t="str">
        <f>CB5&amp;BIN2DEC(BF5)&amp;BZ5</f>
        <v>56,</v>
      </c>
      <c r="BF5" t="str">
        <f>BG5&amp;BH5&amp;BI5&amp;BJ5&amp;BK5&amp;BL5&amp;BM5&amp;BN5</f>
        <v>00111000</v>
      </c>
      <c r="BG5">
        <v>0</v>
      </c>
      <c r="BH5">
        <v>0</v>
      </c>
      <c r="BI5">
        <v>1</v>
      </c>
      <c r="BJ5">
        <v>1</v>
      </c>
      <c r="BK5">
        <v>1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0x3F,</v>
      </c>
      <c r="C6" t="str">
        <f t="shared" ref="C6:C20" si="1">Z6&amp;BIN2DEC(D6)&amp;X6</f>
        <v>63,</v>
      </c>
      <c r="D6" t="str">
        <f t="shared" ref="D6:D20" si="2">E6&amp;F6&amp;G6&amp;H6&amp;I6&amp;J6&amp;K6&amp;L6</f>
        <v>00111111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0xE0,</v>
      </c>
      <c r="AD6" t="str">
        <f t="shared" ref="AD6:AD20" si="7">BA6&amp;BIN2DEC(AE6)&amp;AY6</f>
        <v>224,</v>
      </c>
      <c r="AE6" t="str">
        <f t="shared" ref="AE6:AE20" si="8">AF6&amp;AG6&amp;AH6&amp;AI6&amp;AJ6&amp;AK6&amp;AL6&amp;AM6</f>
        <v>11100000</v>
      </c>
      <c r="AF6">
        <v>1</v>
      </c>
      <c r="AG6">
        <v>1</v>
      </c>
      <c r="AH6">
        <v>1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0x78,</v>
      </c>
      <c r="BE6" t="str">
        <f t="shared" ref="BE6:BE20" si="13">CB6&amp;BIN2DEC(BF6)&amp;BZ6</f>
        <v>120,</v>
      </c>
      <c r="BF6" t="str">
        <f t="shared" ref="BF6:BF20" si="14">BG6&amp;BH6&amp;BI6&amp;BJ6&amp;BK6&amp;BL6&amp;BM6&amp;BN6</f>
        <v>01111000</v>
      </c>
      <c r="BG6">
        <v>0</v>
      </c>
      <c r="BH6">
        <v>1</v>
      </c>
      <c r="BI6">
        <v>1</v>
      </c>
      <c r="BJ6">
        <v>1</v>
      </c>
      <c r="BK6">
        <v>1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0x73,</v>
      </c>
      <c r="C7" t="str">
        <f t="shared" si="1"/>
        <v>115,</v>
      </c>
      <c r="D7" t="str">
        <f t="shared" si="2"/>
        <v>01110011</v>
      </c>
      <c r="E7">
        <v>0</v>
      </c>
      <c r="F7">
        <v>1</v>
      </c>
      <c r="G7">
        <v>1</v>
      </c>
      <c r="H7">
        <v>1</v>
      </c>
      <c r="I7">
        <v>0</v>
      </c>
      <c r="J7">
        <v>0</v>
      </c>
      <c r="K7">
        <v>1</v>
      </c>
      <c r="L7">
        <v>1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10000000</v>
      </c>
      <c r="V7" t="str">
        <f t="shared" si="4"/>
        <v>128,</v>
      </c>
      <c r="W7" t="str">
        <f t="shared" si="5"/>
        <v xml:space="preserve"> 0x80,</v>
      </c>
      <c r="X7" t="s">
        <v>0</v>
      </c>
      <c r="Y7" t="s">
        <v>1</v>
      </c>
      <c r="AC7" t="str">
        <f t="shared" si="6"/>
        <v xml:space="preserve"> 0xE0,</v>
      </c>
      <c r="AD7" t="str">
        <f t="shared" si="7"/>
        <v>224,</v>
      </c>
      <c r="AE7" t="str">
        <f t="shared" si="8"/>
        <v>11100000</v>
      </c>
      <c r="AF7">
        <v>1</v>
      </c>
      <c r="AG7">
        <v>1</v>
      </c>
      <c r="AH7">
        <v>1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0xF0,</v>
      </c>
      <c r="BE7" t="str">
        <f t="shared" si="13"/>
        <v>240,</v>
      </c>
      <c r="BF7" t="str">
        <f t="shared" si="14"/>
        <v>11110000</v>
      </c>
      <c r="BG7">
        <v>1</v>
      </c>
      <c r="BH7">
        <v>1</v>
      </c>
      <c r="BI7">
        <v>1</v>
      </c>
      <c r="BJ7">
        <v>1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0x73,</v>
      </c>
      <c r="C8" t="str">
        <f t="shared" si="1"/>
        <v>115,</v>
      </c>
      <c r="D8" t="str">
        <f t="shared" si="2"/>
        <v>01110011</v>
      </c>
      <c r="E8">
        <v>0</v>
      </c>
      <c r="F8">
        <v>1</v>
      </c>
      <c r="G8">
        <v>1</v>
      </c>
      <c r="H8">
        <v>1</v>
      </c>
      <c r="I8">
        <v>0</v>
      </c>
      <c r="J8">
        <v>0</v>
      </c>
      <c r="K8">
        <v>1</v>
      </c>
      <c r="L8">
        <v>1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10000000</v>
      </c>
      <c r="V8" t="str">
        <f t="shared" si="4"/>
        <v>128,</v>
      </c>
      <c r="W8" t="str">
        <f t="shared" si="5"/>
        <v xml:space="preserve"> 0x80,</v>
      </c>
      <c r="X8" t="s">
        <v>0</v>
      </c>
      <c r="Y8" t="s">
        <v>1</v>
      </c>
      <c r="AC8" t="str">
        <f t="shared" si="6"/>
        <v xml:space="preserve"> 0xE0,</v>
      </c>
      <c r="AD8" t="str">
        <f t="shared" si="7"/>
        <v>224,</v>
      </c>
      <c r="AE8" t="str">
        <f t="shared" si="8"/>
        <v>11100000</v>
      </c>
      <c r="AF8">
        <v>1</v>
      </c>
      <c r="AG8">
        <v>1</v>
      </c>
      <c r="AH8">
        <v>1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0xE0,</v>
      </c>
      <c r="BE8" t="str">
        <f t="shared" si="13"/>
        <v>224,</v>
      </c>
      <c r="BF8" t="str">
        <f t="shared" si="14"/>
        <v>11100000</v>
      </c>
      <c r="BG8">
        <v>1</v>
      </c>
      <c r="BH8">
        <v>1</v>
      </c>
      <c r="BI8">
        <v>1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0x73,</v>
      </c>
      <c r="C9" t="str">
        <f t="shared" si="1"/>
        <v>115,</v>
      </c>
      <c r="D9" t="str">
        <f t="shared" si="2"/>
        <v>01110011</v>
      </c>
      <c r="E9">
        <v>0</v>
      </c>
      <c r="F9">
        <v>1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1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10000000</v>
      </c>
      <c r="V9" t="str">
        <f t="shared" si="4"/>
        <v>128,</v>
      </c>
      <c r="W9" t="str">
        <f t="shared" si="5"/>
        <v xml:space="preserve"> 0x80,</v>
      </c>
      <c r="X9" t="s">
        <v>0</v>
      </c>
      <c r="Y9" t="s">
        <v>1</v>
      </c>
      <c r="AC9" t="str">
        <f t="shared" si="6"/>
        <v xml:space="preserve"> 0xE0,</v>
      </c>
      <c r="AD9" t="str">
        <f t="shared" si="7"/>
        <v>224,</v>
      </c>
      <c r="AE9" t="str">
        <f t="shared" si="8"/>
        <v>11100000</v>
      </c>
      <c r="AF9">
        <v>1</v>
      </c>
      <c r="AG9">
        <v>1</v>
      </c>
      <c r="AH9">
        <v>1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0xE0,</v>
      </c>
      <c r="BE9" t="str">
        <f t="shared" si="13"/>
        <v>224,</v>
      </c>
      <c r="BF9" t="str">
        <f t="shared" si="14"/>
        <v>11100000</v>
      </c>
      <c r="BG9">
        <v>1</v>
      </c>
      <c r="BH9">
        <v>1</v>
      </c>
      <c r="BI9">
        <v>1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0x73,</v>
      </c>
      <c r="C10" t="str">
        <f t="shared" si="1"/>
        <v>115,</v>
      </c>
      <c r="D10" t="str">
        <f t="shared" si="2"/>
        <v>01110011</v>
      </c>
      <c r="E10">
        <v>0</v>
      </c>
      <c r="F10">
        <v>1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10000000</v>
      </c>
      <c r="V10" t="str">
        <f t="shared" si="4"/>
        <v>128,</v>
      </c>
      <c r="W10" t="str">
        <f t="shared" si="5"/>
        <v xml:space="preserve"> 0x80,</v>
      </c>
      <c r="X10" t="s">
        <v>0</v>
      </c>
      <c r="Y10" t="s">
        <v>1</v>
      </c>
      <c r="AC10" t="str">
        <f t="shared" si="6"/>
        <v xml:space="preserve"> 0x00,</v>
      </c>
      <c r="AD10" t="str">
        <f t="shared" si="7"/>
        <v>0,</v>
      </c>
      <c r="AE10" t="str">
        <f t="shared" si="8"/>
        <v>00000000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0xE0,</v>
      </c>
      <c r="BE10" t="str">
        <f t="shared" si="13"/>
        <v>224,</v>
      </c>
      <c r="BF10" t="str">
        <f t="shared" si="14"/>
        <v>11100000</v>
      </c>
      <c r="BG10">
        <v>1</v>
      </c>
      <c r="BH10">
        <v>1</v>
      </c>
      <c r="BI10">
        <v>1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0x33,</v>
      </c>
      <c r="C11" t="str">
        <f t="shared" si="1"/>
        <v>51,</v>
      </c>
      <c r="D11" t="str">
        <f t="shared" si="2"/>
        <v>00110011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10000000</v>
      </c>
      <c r="V11" t="str">
        <f t="shared" si="4"/>
        <v>128,</v>
      </c>
      <c r="W11" t="str">
        <f t="shared" si="5"/>
        <v xml:space="preserve"> 0x80,</v>
      </c>
      <c r="X11" t="s">
        <v>0</v>
      </c>
      <c r="Y11" t="s">
        <v>1</v>
      </c>
      <c r="AC11" t="str">
        <f t="shared" si="6"/>
        <v xml:space="preserve"> 0x00,</v>
      </c>
      <c r="AD11" t="str">
        <f t="shared" si="7"/>
        <v>0,</v>
      </c>
      <c r="AE11" t="str">
        <f t="shared" si="8"/>
        <v>00000000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0xE0,</v>
      </c>
      <c r="BE11" t="str">
        <f t="shared" si="13"/>
        <v>224,</v>
      </c>
      <c r="BF11" t="str">
        <f t="shared" si="14"/>
        <v>11100000</v>
      </c>
      <c r="BG11">
        <v>1</v>
      </c>
      <c r="BH11">
        <v>1</v>
      </c>
      <c r="BI11">
        <v>1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0x3F,</v>
      </c>
      <c r="C12" t="str">
        <f t="shared" si="1"/>
        <v>63,</v>
      </c>
      <c r="D12" t="str">
        <f t="shared" si="2"/>
        <v>00111111</v>
      </c>
      <c r="E12">
        <v>0</v>
      </c>
      <c r="F12">
        <v>0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0x00,</v>
      </c>
      <c r="AD12" t="str">
        <f t="shared" si="7"/>
        <v>0,</v>
      </c>
      <c r="AE12" t="str">
        <f t="shared" si="8"/>
        <v>00000000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0xE0,</v>
      </c>
      <c r="BE12" t="str">
        <f t="shared" si="13"/>
        <v>224,</v>
      </c>
      <c r="BF12" t="str">
        <f t="shared" si="14"/>
        <v>11100000</v>
      </c>
      <c r="BG12">
        <v>1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0x7E,</v>
      </c>
      <c r="C13" t="str">
        <f t="shared" si="1"/>
        <v>126,</v>
      </c>
      <c r="D13" t="str">
        <f t="shared" si="2"/>
        <v>01111110</v>
      </c>
      <c r="E13">
        <v>0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0x00,</v>
      </c>
      <c r="AD13" t="str">
        <f t="shared" si="7"/>
        <v>0,</v>
      </c>
      <c r="AE13" t="str">
        <f t="shared" si="8"/>
        <v>00000000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0xE0,</v>
      </c>
      <c r="BE13" t="str">
        <f t="shared" si="13"/>
        <v>224,</v>
      </c>
      <c r="BF13" t="str">
        <f t="shared" si="14"/>
        <v>11100000</v>
      </c>
      <c r="BG13">
        <v>1</v>
      </c>
      <c r="BH13">
        <v>1</v>
      </c>
      <c r="BI13">
        <v>1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0xEE,</v>
      </c>
      <c r="C14" t="str">
        <f t="shared" si="1"/>
        <v>238,</v>
      </c>
      <c r="D14" t="str">
        <f t="shared" si="2"/>
        <v>11101110</v>
      </c>
      <c r="E14">
        <v>1</v>
      </c>
      <c r="F14">
        <v>1</v>
      </c>
      <c r="G14">
        <v>1</v>
      </c>
      <c r="H14">
        <v>0</v>
      </c>
      <c r="I14">
        <v>1</v>
      </c>
      <c r="J14">
        <v>1</v>
      </c>
      <c r="K14">
        <v>1</v>
      </c>
      <c r="L14">
        <v>0</v>
      </c>
      <c r="M14">
        <v>0</v>
      </c>
      <c r="N14">
        <v>0</v>
      </c>
      <c r="O14">
        <v>1</v>
      </c>
      <c r="P14">
        <v>1</v>
      </c>
      <c r="Q14">
        <v>0</v>
      </c>
      <c r="R14">
        <v>0</v>
      </c>
      <c r="S14">
        <v>0</v>
      </c>
      <c r="T14">
        <v>0</v>
      </c>
      <c r="U14" t="str">
        <f t="shared" si="3"/>
        <v>00110000</v>
      </c>
      <c r="V14" t="str">
        <f t="shared" si="4"/>
        <v>48,</v>
      </c>
      <c r="W14" t="str">
        <f t="shared" si="5"/>
        <v xml:space="preserve"> 0x30,</v>
      </c>
      <c r="X14" t="s">
        <v>0</v>
      </c>
      <c r="Y14" t="s">
        <v>1</v>
      </c>
      <c r="AC14" t="str">
        <f t="shared" si="6"/>
        <v xml:space="preserve"> 0x00,</v>
      </c>
      <c r="AD14" t="str">
        <f t="shared" si="7"/>
        <v>0,</v>
      </c>
      <c r="AE14" t="str">
        <f t="shared" si="8"/>
        <v>00000000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0xE0,</v>
      </c>
      <c r="BE14" t="str">
        <f t="shared" si="13"/>
        <v>224,</v>
      </c>
      <c r="BF14" t="str">
        <f t="shared" si="14"/>
        <v>11100000</v>
      </c>
      <c r="BG14">
        <v>1</v>
      </c>
      <c r="BH14">
        <v>1</v>
      </c>
      <c r="BI14">
        <v>1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0xE7,</v>
      </c>
      <c r="C15" t="str">
        <f t="shared" si="1"/>
        <v>231,</v>
      </c>
      <c r="D15" t="str">
        <f t="shared" si="2"/>
        <v>11100111</v>
      </c>
      <c r="E15">
        <v>1</v>
      </c>
      <c r="F15">
        <v>1</v>
      </c>
      <c r="G15">
        <v>1</v>
      </c>
      <c r="H15">
        <v>0</v>
      </c>
      <c r="I15">
        <v>0</v>
      </c>
      <c r="J15">
        <v>1</v>
      </c>
      <c r="K15">
        <v>1</v>
      </c>
      <c r="L15">
        <v>1</v>
      </c>
      <c r="M15">
        <v>0</v>
      </c>
      <c r="N15">
        <v>1</v>
      </c>
      <c r="O15">
        <v>1</v>
      </c>
      <c r="P15">
        <v>1</v>
      </c>
      <c r="Q15">
        <v>0</v>
      </c>
      <c r="R15">
        <v>0</v>
      </c>
      <c r="S15">
        <v>0</v>
      </c>
      <c r="T15">
        <v>0</v>
      </c>
      <c r="U15" t="str">
        <f t="shared" si="3"/>
        <v>01110000</v>
      </c>
      <c r="V15" t="str">
        <f t="shared" si="4"/>
        <v>112,</v>
      </c>
      <c r="W15" t="str">
        <f t="shared" si="5"/>
        <v xml:space="preserve"> 0x70,</v>
      </c>
      <c r="X15" t="s">
        <v>0</v>
      </c>
      <c r="Y15" t="s">
        <v>1</v>
      </c>
      <c r="AC15" t="str">
        <f t="shared" si="6"/>
        <v xml:space="preserve"> 0x00,</v>
      </c>
      <c r="AD15" t="str">
        <f t="shared" si="7"/>
        <v>0,</v>
      </c>
      <c r="AE15" t="str">
        <f t="shared" si="8"/>
        <v>00000000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0xE0,</v>
      </c>
      <c r="BE15" t="str">
        <f t="shared" si="13"/>
        <v>224,</v>
      </c>
      <c r="BF15" t="str">
        <f t="shared" si="14"/>
        <v>11100000</v>
      </c>
      <c r="BG15">
        <v>1</v>
      </c>
      <c r="BH15">
        <v>1</v>
      </c>
      <c r="BI15">
        <v>1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0xE3,</v>
      </c>
      <c r="C16" t="str">
        <f t="shared" si="1"/>
        <v>227,</v>
      </c>
      <c r="D16" t="str">
        <f t="shared" si="2"/>
        <v>11100011</v>
      </c>
      <c r="E16">
        <v>1</v>
      </c>
      <c r="F16">
        <v>1</v>
      </c>
      <c r="G16">
        <v>1</v>
      </c>
      <c r="H16">
        <v>0</v>
      </c>
      <c r="I16">
        <v>0</v>
      </c>
      <c r="J16">
        <v>0</v>
      </c>
      <c r="K16">
        <v>1</v>
      </c>
      <c r="L16">
        <v>1</v>
      </c>
      <c r="M16">
        <v>1</v>
      </c>
      <c r="N16">
        <v>1</v>
      </c>
      <c r="O16">
        <v>1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11100000</v>
      </c>
      <c r="V16" t="str">
        <f t="shared" si="4"/>
        <v>224,</v>
      </c>
      <c r="W16" t="str">
        <f t="shared" si="5"/>
        <v xml:space="preserve"> 0xE0,</v>
      </c>
      <c r="X16" t="s">
        <v>0</v>
      </c>
      <c r="Y16" t="s">
        <v>1</v>
      </c>
      <c r="AC16" t="str">
        <f t="shared" si="6"/>
        <v xml:space="preserve"> 0x00,</v>
      </c>
      <c r="AD16" t="str">
        <f t="shared" si="7"/>
        <v>0,</v>
      </c>
      <c r="AE16" t="str">
        <f t="shared" si="8"/>
        <v>00000000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0xE0,</v>
      </c>
      <c r="BE16" t="str">
        <f t="shared" si="13"/>
        <v>224,</v>
      </c>
      <c r="BF16" t="str">
        <f t="shared" si="14"/>
        <v>11100000</v>
      </c>
      <c r="BG16">
        <v>1</v>
      </c>
      <c r="BH16">
        <v>1</v>
      </c>
      <c r="BI16">
        <v>1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0xE1,</v>
      </c>
      <c r="C17" t="str">
        <f t="shared" si="1"/>
        <v>225,</v>
      </c>
      <c r="D17" t="str">
        <f t="shared" si="2"/>
        <v>11100001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0</v>
      </c>
      <c r="L17">
        <v>1</v>
      </c>
      <c r="M17">
        <v>1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11000000</v>
      </c>
      <c r="V17" t="str">
        <f t="shared" si="4"/>
        <v>192,</v>
      </c>
      <c r="W17" t="str">
        <f t="shared" si="5"/>
        <v xml:space="preserve"> 0xC0,</v>
      </c>
      <c r="X17" t="s">
        <v>0</v>
      </c>
      <c r="Y17" t="s">
        <v>1</v>
      </c>
      <c r="AC17" t="str">
        <f t="shared" si="6"/>
        <v xml:space="preserve"> 0x00,</v>
      </c>
      <c r="AD17" t="str">
        <f t="shared" si="7"/>
        <v>0,</v>
      </c>
      <c r="AE17" t="str">
        <f t="shared" si="8"/>
        <v>00000000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0xE0,</v>
      </c>
      <c r="BE17" t="str">
        <f t="shared" si="13"/>
        <v>224,</v>
      </c>
      <c r="BF17" t="str">
        <f t="shared" si="14"/>
        <v>11100000</v>
      </c>
      <c r="BG17">
        <v>1</v>
      </c>
      <c r="BH17">
        <v>1</v>
      </c>
      <c r="BI17">
        <v>1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0xE3,</v>
      </c>
      <c r="C18" t="str">
        <f t="shared" si="1"/>
        <v>227,</v>
      </c>
      <c r="D18" t="str">
        <f t="shared" si="2"/>
        <v>11100011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K18">
        <v>1</v>
      </c>
      <c r="L18">
        <v>1</v>
      </c>
      <c r="M18">
        <v>1</v>
      </c>
      <c r="N18">
        <v>1</v>
      </c>
      <c r="O18">
        <v>1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11100000</v>
      </c>
      <c r="V18" t="str">
        <f t="shared" si="4"/>
        <v>224,</v>
      </c>
      <c r="W18" t="str">
        <f t="shared" si="5"/>
        <v xml:space="preserve"> 0xE0,</v>
      </c>
      <c r="X18" t="s">
        <v>0</v>
      </c>
      <c r="Y18" t="s">
        <v>1</v>
      </c>
      <c r="AC18" t="str">
        <f t="shared" si="6"/>
        <v xml:space="preserve"> 0x00,</v>
      </c>
      <c r="AD18" t="str">
        <f t="shared" si="7"/>
        <v>0,</v>
      </c>
      <c r="AE18" t="str">
        <f t="shared" si="8"/>
        <v>00000000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0xF0,</v>
      </c>
      <c r="BE18" t="str">
        <f t="shared" si="13"/>
        <v>240,</v>
      </c>
      <c r="BF18" t="str">
        <f t="shared" si="14"/>
        <v>11110000</v>
      </c>
      <c r="BG18">
        <v>1</v>
      </c>
      <c r="BH18">
        <v>1</v>
      </c>
      <c r="BI18">
        <v>1</v>
      </c>
      <c r="BJ18">
        <v>1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0xFF,</v>
      </c>
      <c r="C19" t="str">
        <f t="shared" si="1"/>
        <v>255,</v>
      </c>
      <c r="D19" t="str">
        <f t="shared" si="2"/>
        <v>11111111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0</v>
      </c>
      <c r="N19">
        <v>1</v>
      </c>
      <c r="O19">
        <v>1</v>
      </c>
      <c r="P19">
        <v>1</v>
      </c>
      <c r="Q19">
        <v>0</v>
      </c>
      <c r="R19">
        <v>0</v>
      </c>
      <c r="S19">
        <v>0</v>
      </c>
      <c r="T19">
        <v>0</v>
      </c>
      <c r="U19" t="str">
        <f t="shared" si="3"/>
        <v>01110000</v>
      </c>
      <c r="V19" t="str">
        <f t="shared" si="4"/>
        <v>112,</v>
      </c>
      <c r="W19" t="str">
        <f t="shared" si="5"/>
        <v xml:space="preserve"> 0x70,</v>
      </c>
      <c r="X19" t="s">
        <v>0</v>
      </c>
      <c r="Y19" t="s">
        <v>1</v>
      </c>
      <c r="AC19" t="str">
        <f t="shared" si="6"/>
        <v xml:space="preserve"> 0x00,</v>
      </c>
      <c r="AD19" t="str">
        <f t="shared" si="7"/>
        <v>0,</v>
      </c>
      <c r="AE19" t="str">
        <f t="shared" si="8"/>
        <v>00000000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0x78,</v>
      </c>
      <c r="BE19" t="str">
        <f t="shared" si="13"/>
        <v>120,</v>
      </c>
      <c r="BF19" t="str">
        <f t="shared" si="14"/>
        <v>01111000</v>
      </c>
      <c r="BG19">
        <v>0</v>
      </c>
      <c r="BH19">
        <v>1</v>
      </c>
      <c r="BI19">
        <v>1</v>
      </c>
      <c r="BJ19">
        <v>1</v>
      </c>
      <c r="BK19">
        <v>1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0x7E,</v>
      </c>
      <c r="C20" t="str">
        <f t="shared" si="1"/>
        <v>126,</v>
      </c>
      <c r="D20" t="str">
        <f t="shared" si="2"/>
        <v>01111110</v>
      </c>
      <c r="E20">
        <v>0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0</v>
      </c>
      <c r="M20">
        <v>0</v>
      </c>
      <c r="N20">
        <v>0</v>
      </c>
      <c r="O20">
        <v>1</v>
      </c>
      <c r="P20">
        <v>1</v>
      </c>
      <c r="Q20">
        <v>0</v>
      </c>
      <c r="R20">
        <v>0</v>
      </c>
      <c r="S20">
        <v>0</v>
      </c>
      <c r="T20">
        <v>0</v>
      </c>
      <c r="U20" t="str">
        <f t="shared" si="3"/>
        <v>00110000</v>
      </c>
      <c r="V20" t="str">
        <f t="shared" si="4"/>
        <v>48,</v>
      </c>
      <c r="W20" t="str">
        <f t="shared" si="5"/>
        <v xml:space="preserve"> 0x30,</v>
      </c>
      <c r="X20" t="s">
        <v>0</v>
      </c>
      <c r="Y20" t="s">
        <v>1</v>
      </c>
      <c r="AC20" t="str">
        <f t="shared" si="6"/>
        <v xml:space="preserve"> 0x00,</v>
      </c>
      <c r="AD20" t="str">
        <f t="shared" si="7"/>
        <v>0,</v>
      </c>
      <c r="AE20" t="str">
        <f t="shared" si="8"/>
        <v>00000000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0x38,</v>
      </c>
      <c r="BE20" t="str">
        <f t="shared" si="13"/>
        <v>56,</v>
      </c>
      <c r="BF20" t="str">
        <f t="shared" si="14"/>
        <v>00111000</v>
      </c>
      <c r="BG20">
        <v>0</v>
      </c>
      <c r="BH20">
        <v>0</v>
      </c>
      <c r="BI20">
        <v>1</v>
      </c>
      <c r="BJ20">
        <v>1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1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12,</v>
      </c>
      <c r="V22" t="str">
        <f>Y20&amp;DEC2HEX(U22,2)&amp;X20</f>
        <v xml:space="preserve"> 0x0C,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0</v>
      </c>
      <c r="AJ22">
        <f t="shared" si="19"/>
        <v>0</v>
      </c>
      <c r="AK22">
        <f t="shared" si="19"/>
        <v>0</v>
      </c>
      <c r="AL22">
        <f t="shared" si="19"/>
        <v>0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3,</v>
      </c>
      <c r="AW22" t="str">
        <f>AZ20&amp;DEC2HEX(AV22,2)&amp;AY20</f>
        <v xml:space="preserve"> 0x03,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0</v>
      </c>
      <c r="BM22">
        <f t="shared" si="20"/>
        <v>0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5,</v>
      </c>
      <c r="BX22" t="str">
        <f>CA20&amp;DEC2HEX(BW22,2)&amp;BZ20</f>
        <v xml:space="preserve"> 0x05,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12,30,0,63,0,115,128,115,128,115,128,115,128,51,128,63,0,126,0,238,48,231,112,227,224,225,192,227,224,255,112,126,48,//&amp;//38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3,224,0,224,0,224,0,224,0,224,0,0,0,0,0,0,0,0,0,0,0,0,0,0,0,0,0,0,0,0,0,0,0,////39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5,56,0,120,0,240,0,224,0,224,0,224,0,224,0,224,0,224,0,224,0,224,0,224,0,224,0,240,0,120,0,56,0,//(//40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0x0C, 0x1E, 0x00, 0x3F, 0x00, 0x73, 0x80, 0x73, 0x80, 0x73, 0x80, 0x73, 0x80, 0x33, 0x80, 0x3F, 0x00, 0x7E, 0x00, 0xEE, 0x30, 0xE7, 0x70, 0xE3, 0xE0, 0xE1, 0xC0, 0xE3, 0xE0, 0xFF, 0x70, 0x7E, 0x30,//&amp;//38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0x03, 0xE0, 0x00, 0xE0, 0x00, 0xE0, 0x00, 0xE0, 0x00, 0xE0, 0x00, 0x00, 0x00, 0x00, 0x00, 0x00, 0x00, 0x00, 0x00, 0x00, 0x00, 0x00, 0x00, 0x00, 0x00, 0x00, 0x00, 0x00, 0x00, 0x00, 0x00, 0x00, 0x00,////39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0x05, 0x38, 0x00, 0x78, 0x00, 0xF0, 0x00, 0xE0, 0x00, 0xE0, 0x00, 0xE0, 0x00, 0xE0, 0x00, 0xE0, 0x00, 0xE0, 0x00, 0xE0, 0x00, 0xE0, 0x00, 0xE0, 0x00, 0xE0, 0x00, 0xF0, 0x00, 0x78, 0x00, 0x38, 0x00,//(//40</v>
      </c>
    </row>
    <row r="28" spans="1:79">
      <c r="A28" s="1" t="str">
        <f>$B$24</f>
        <v>12,30,0,63,0,115,128,115,128,115,128,115,128,51,128,63,0,126,0,238,48,231,112,227,224,225,192,227,224,255,112,126,48,//&amp;//38</v>
      </c>
      <c r="E28" t="s">
        <v>4</v>
      </c>
      <c r="AB28" s="1" t="str">
        <f>$AC$24</f>
        <v>3,224,0,224,0,224,0,224,0,224,0,0,0,0,0,0,0,0,0,0,0,0,0,0,0,0,0,0,0,0,0,0,0,////39</v>
      </c>
      <c r="AF28" t="s">
        <v>4</v>
      </c>
      <c r="BC28" s="1" t="str">
        <f>$BD$24</f>
        <v>5,56,0,120,0,240,0,224,0,224,0,224,0,224,0,224,0,224,0,224,0,224,0,224,0,224,0,240,0,120,0,56,0,//(//40</v>
      </c>
      <c r="BG28" t="s">
        <v>4</v>
      </c>
    </row>
    <row r="29" spans="1:79">
      <c r="A29" s="2" t="str">
        <f>$B$25</f>
        <v xml:space="preserve"> 0x0C, 0x1E, 0x00, 0x3F, 0x00, 0x73, 0x80, 0x73, 0x80, 0x73, 0x80, 0x73, 0x80, 0x33, 0x80, 0x3F, 0x00, 0x7E, 0x00, 0xEE, 0x30, 0xE7, 0x70, 0xE3, 0xE0, 0xE1, 0xC0, 0xE3, 0xE0, 0xFF, 0x70, 0x7E, 0x30,//&amp;//38</v>
      </c>
      <c r="E29" t="s">
        <v>3</v>
      </c>
      <c r="AB29" s="2" t="str">
        <f>$AC$25</f>
        <v xml:space="preserve"> 0x03, 0xE0, 0x00, 0xE0, 0x00, 0xE0, 0x00, 0xE0, 0x00, 0xE0, 0x00, 0x00, 0x00, 0x00, 0x00, 0x00, 0x00, 0x00, 0x00, 0x00, 0x00, 0x00, 0x00, 0x00, 0x00, 0x00, 0x00, 0x00, 0x00, 0x00, 0x00, 0x00, 0x00,////39</v>
      </c>
      <c r="AF29" t="s">
        <v>3</v>
      </c>
      <c r="BC29" s="2" t="str">
        <f>$BD$25</f>
        <v xml:space="preserve"> 0x05, 0x38, 0x00, 0x78, 0x00, 0xF0, 0x00, 0xE0, 0x00, 0xE0, 0x00, 0xE0, 0x00, 0xE0, 0x00, 0xE0, 0x00, 0xE0, 0x00, 0xE0, 0x00, 0xE0, 0x00, 0xE0, 0x00, 0xE0, 0x00, 0xF0, 0x00, 0x78, 0x00, 0x38, 0x00,//(//40</v>
      </c>
      <c r="BG29" t="s">
        <v>3</v>
      </c>
    </row>
  </sheetData>
  <conditionalFormatting sqref="E5:T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4:CB29"/>
  <sheetViews>
    <sheetView workbookViewId="0">
      <selection activeCell="M32" sqref="M32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41</v>
      </c>
      <c r="Z4" t="s">
        <v>5</v>
      </c>
      <c r="AB4" s="3">
        <v>42</v>
      </c>
      <c r="BA4" t="s">
        <v>5</v>
      </c>
      <c r="BC4" s="3">
        <v>43</v>
      </c>
      <c r="CB4" t="s">
        <v>5</v>
      </c>
    </row>
    <row r="5" spans="1:80">
      <c r="A5" s="3" t="s">
        <v>225</v>
      </c>
      <c r="B5" t="str">
        <f>Z5&amp;Y5&amp;BIN2HEX(D5,2)&amp;X5</f>
        <v xml:space="preserve"> 0xE0,</v>
      </c>
      <c r="C5" t="str">
        <f>Z5&amp;BIN2DEC(D5)&amp;X5</f>
        <v>224,</v>
      </c>
      <c r="D5" t="str">
        <f>E5&amp;F5&amp;G5&amp;H5&amp;I5&amp;J5&amp;K5&amp;L5</f>
        <v>11100000</v>
      </c>
      <c r="E5">
        <v>1</v>
      </c>
      <c r="F5">
        <v>1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226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>
        <f>+A20</f>
        <v>0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0xF0,</v>
      </c>
      <c r="C6" t="str">
        <f t="shared" ref="C6:C20" si="1">Z6&amp;BIN2DEC(D6)&amp;X6</f>
        <v>240,</v>
      </c>
      <c r="D6" t="str">
        <f t="shared" ref="D6:D20" si="2">E6&amp;F6&amp;G6&amp;H6&amp;I6&amp;J6&amp;K6&amp;L6</f>
        <v>11110000</v>
      </c>
      <c r="E6">
        <v>1</v>
      </c>
      <c r="F6">
        <v>1</v>
      </c>
      <c r="G6">
        <v>1</v>
      </c>
      <c r="H6">
        <v>1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0x78,</v>
      </c>
      <c r="C7" t="str">
        <f t="shared" si="1"/>
        <v>120,</v>
      </c>
      <c r="D7" t="str">
        <f t="shared" si="2"/>
        <v>01111000</v>
      </c>
      <c r="E7">
        <v>0</v>
      </c>
      <c r="F7">
        <v>1</v>
      </c>
      <c r="G7">
        <v>1</v>
      </c>
      <c r="H7">
        <v>1</v>
      </c>
      <c r="I7">
        <v>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0x38,</v>
      </c>
      <c r="C8" t="str">
        <f t="shared" si="1"/>
        <v>56,</v>
      </c>
      <c r="D8" t="str">
        <f t="shared" si="2"/>
        <v>00111000</v>
      </c>
      <c r="E8">
        <v>0</v>
      </c>
      <c r="F8">
        <v>0</v>
      </c>
      <c r="G8">
        <v>1</v>
      </c>
      <c r="H8">
        <v>1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0x63,</v>
      </c>
      <c r="AD8" t="str">
        <f t="shared" si="7"/>
        <v>99,</v>
      </c>
      <c r="AE8" t="str">
        <f t="shared" si="8"/>
        <v>01100011</v>
      </c>
      <c r="AF8">
        <v>0</v>
      </c>
      <c r="AG8">
        <v>1</v>
      </c>
      <c r="AH8">
        <v>1</v>
      </c>
      <c r="AI8">
        <v>0</v>
      </c>
      <c r="AJ8">
        <v>0</v>
      </c>
      <c r="AK8">
        <v>0</v>
      </c>
      <c r="AL8">
        <v>1</v>
      </c>
      <c r="AM8">
        <v>1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0x38,</v>
      </c>
      <c r="C9" t="str">
        <f t="shared" si="1"/>
        <v>56,</v>
      </c>
      <c r="D9" t="str">
        <f t="shared" si="2"/>
        <v>00111000</v>
      </c>
      <c r="E9">
        <v>0</v>
      </c>
      <c r="F9">
        <v>0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0x77,</v>
      </c>
      <c r="AD9" t="str">
        <f t="shared" si="7"/>
        <v>119,</v>
      </c>
      <c r="AE9" t="str">
        <f t="shared" si="8"/>
        <v>01110111</v>
      </c>
      <c r="AF9">
        <v>0</v>
      </c>
      <c r="AG9">
        <v>1</v>
      </c>
      <c r="AH9">
        <v>1</v>
      </c>
      <c r="AI9">
        <v>1</v>
      </c>
      <c r="AJ9">
        <v>0</v>
      </c>
      <c r="AK9">
        <v>1</v>
      </c>
      <c r="AL9">
        <v>1</v>
      </c>
      <c r="AM9">
        <v>1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0x1C,</v>
      </c>
      <c r="BE9" t="str">
        <f t="shared" si="13"/>
        <v>28,</v>
      </c>
      <c r="BF9" t="str">
        <f t="shared" si="14"/>
        <v>00011100</v>
      </c>
      <c r="BG9">
        <v>0</v>
      </c>
      <c r="BH9">
        <v>0</v>
      </c>
      <c r="BI9">
        <v>0</v>
      </c>
      <c r="BJ9">
        <v>1</v>
      </c>
      <c r="BK9">
        <v>1</v>
      </c>
      <c r="BL9">
        <v>1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0x38,</v>
      </c>
      <c r="C10" t="str">
        <f t="shared" si="1"/>
        <v>56,</v>
      </c>
      <c r="D10" t="str">
        <f t="shared" si="2"/>
        <v>00111000</v>
      </c>
      <c r="E10">
        <v>0</v>
      </c>
      <c r="F10">
        <v>0</v>
      </c>
      <c r="G10">
        <v>1</v>
      </c>
      <c r="H10">
        <v>1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0x3E,</v>
      </c>
      <c r="AD10" t="str">
        <f t="shared" si="7"/>
        <v>62,</v>
      </c>
      <c r="AE10" t="str">
        <f t="shared" si="8"/>
        <v>00111110</v>
      </c>
      <c r="AF10">
        <v>0</v>
      </c>
      <c r="AG10">
        <v>0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0x1C,</v>
      </c>
      <c r="BE10" t="str">
        <f t="shared" si="13"/>
        <v>28,</v>
      </c>
      <c r="BF10" t="str">
        <f t="shared" si="14"/>
        <v>00011100</v>
      </c>
      <c r="BG10">
        <v>0</v>
      </c>
      <c r="BH10">
        <v>0</v>
      </c>
      <c r="BI10">
        <v>0</v>
      </c>
      <c r="BJ10">
        <v>1</v>
      </c>
      <c r="BK10">
        <v>1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0x38,</v>
      </c>
      <c r="C11" t="str">
        <f t="shared" si="1"/>
        <v>56,</v>
      </c>
      <c r="D11" t="str">
        <f t="shared" si="2"/>
        <v>00111000</v>
      </c>
      <c r="E11">
        <v>0</v>
      </c>
      <c r="F11">
        <v>0</v>
      </c>
      <c r="G11">
        <v>1</v>
      </c>
      <c r="H11">
        <v>1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0x1C,</v>
      </c>
      <c r="AD11" t="str">
        <f t="shared" si="7"/>
        <v>28,</v>
      </c>
      <c r="AE11" t="str">
        <f t="shared" si="8"/>
        <v>00011100</v>
      </c>
      <c r="AF11">
        <v>0</v>
      </c>
      <c r="AG11">
        <v>0</v>
      </c>
      <c r="AH11">
        <v>0</v>
      </c>
      <c r="AI11">
        <v>1</v>
      </c>
      <c r="AJ11">
        <v>1</v>
      </c>
      <c r="AK11">
        <v>1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0x1C,</v>
      </c>
      <c r="BE11" t="str">
        <f t="shared" si="13"/>
        <v>28,</v>
      </c>
      <c r="BF11" t="str">
        <f t="shared" si="14"/>
        <v>00011100</v>
      </c>
      <c r="BG11">
        <v>0</v>
      </c>
      <c r="BH11">
        <v>0</v>
      </c>
      <c r="BI11">
        <v>0</v>
      </c>
      <c r="BJ11">
        <v>1</v>
      </c>
      <c r="BK11">
        <v>1</v>
      </c>
      <c r="BL11">
        <v>1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0x38,</v>
      </c>
      <c r="C12" t="str">
        <f t="shared" si="1"/>
        <v>56,</v>
      </c>
      <c r="D12" t="str">
        <f t="shared" si="2"/>
        <v>00111000</v>
      </c>
      <c r="E12">
        <v>0</v>
      </c>
      <c r="F12">
        <v>0</v>
      </c>
      <c r="G12">
        <v>1</v>
      </c>
      <c r="H12">
        <v>1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0xFF,</v>
      </c>
      <c r="AD12" t="str">
        <f t="shared" si="7"/>
        <v>255,</v>
      </c>
      <c r="AE12" t="str">
        <f t="shared" si="8"/>
        <v>11111111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10000000</v>
      </c>
      <c r="AW12" t="str">
        <f t="shared" si="10"/>
        <v>128,</v>
      </c>
      <c r="AX12" t="str">
        <f t="shared" si="11"/>
        <v xml:space="preserve"> 0x80,</v>
      </c>
      <c r="AY12" t="s">
        <v>0</v>
      </c>
      <c r="AZ12" t="s">
        <v>1</v>
      </c>
      <c r="BD12" t="str">
        <f t="shared" si="12"/>
        <v xml:space="preserve"> 0xFF,</v>
      </c>
      <c r="BE12" t="str">
        <f t="shared" si="13"/>
        <v>255,</v>
      </c>
      <c r="BF12" t="str">
        <f t="shared" si="14"/>
        <v>11111111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10000000</v>
      </c>
      <c r="BX12" t="str">
        <f t="shared" si="16"/>
        <v>128,</v>
      </c>
      <c r="BY12" t="str">
        <f t="shared" si="17"/>
        <v xml:space="preserve"> 0x80,</v>
      </c>
      <c r="BZ12" t="s">
        <v>0</v>
      </c>
      <c r="CA12" t="s">
        <v>1</v>
      </c>
    </row>
    <row r="13" spans="1:80">
      <c r="B13" t="str">
        <f t="shared" si="0"/>
        <v xml:space="preserve"> 0x38,</v>
      </c>
      <c r="C13" t="str">
        <f t="shared" si="1"/>
        <v>56,</v>
      </c>
      <c r="D13" t="str">
        <f t="shared" si="2"/>
        <v>00111000</v>
      </c>
      <c r="E13">
        <v>0</v>
      </c>
      <c r="F13">
        <v>0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0xFF,</v>
      </c>
      <c r="AD13" t="str">
        <f t="shared" si="7"/>
        <v>255,</v>
      </c>
      <c r="AE13" t="str">
        <f t="shared" si="8"/>
        <v>11111111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10000000</v>
      </c>
      <c r="AW13" t="str">
        <f t="shared" si="10"/>
        <v>128,</v>
      </c>
      <c r="AX13" t="str">
        <f t="shared" si="11"/>
        <v xml:space="preserve"> 0x80,</v>
      </c>
      <c r="AY13" t="s">
        <v>0</v>
      </c>
      <c r="AZ13" t="s">
        <v>1</v>
      </c>
      <c r="BD13" t="str">
        <f t="shared" si="12"/>
        <v xml:space="preserve"> 0xFF,</v>
      </c>
      <c r="BE13" t="str">
        <f t="shared" si="13"/>
        <v>255,</v>
      </c>
      <c r="BF13" t="str">
        <f t="shared" si="14"/>
        <v>11111111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10000000</v>
      </c>
      <c r="BX13" t="str">
        <f t="shared" si="16"/>
        <v>128,</v>
      </c>
      <c r="BY13" t="str">
        <f t="shared" si="17"/>
        <v xml:space="preserve"> 0x80,</v>
      </c>
      <c r="BZ13" t="s">
        <v>0</v>
      </c>
      <c r="CA13" t="s">
        <v>1</v>
      </c>
    </row>
    <row r="14" spans="1:80">
      <c r="B14" t="str">
        <f t="shared" si="0"/>
        <v xml:space="preserve"> 0x38,</v>
      </c>
      <c r="C14" t="str">
        <f t="shared" si="1"/>
        <v>56,</v>
      </c>
      <c r="D14" t="str">
        <f t="shared" si="2"/>
        <v>00111000</v>
      </c>
      <c r="E14">
        <v>0</v>
      </c>
      <c r="F14">
        <v>0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0x1C,</v>
      </c>
      <c r="AD14" t="str">
        <f t="shared" si="7"/>
        <v>28,</v>
      </c>
      <c r="AE14" t="str">
        <f t="shared" si="8"/>
        <v>00011100</v>
      </c>
      <c r="AF14">
        <v>0</v>
      </c>
      <c r="AG14">
        <v>0</v>
      </c>
      <c r="AH14">
        <v>0</v>
      </c>
      <c r="AI14">
        <v>1</v>
      </c>
      <c r="AJ14">
        <v>1</v>
      </c>
      <c r="AK14">
        <v>1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0x1C,</v>
      </c>
      <c r="BE14" t="str">
        <f t="shared" si="13"/>
        <v>28,</v>
      </c>
      <c r="BF14" t="str">
        <f t="shared" si="14"/>
        <v>00011100</v>
      </c>
      <c r="BG14">
        <v>0</v>
      </c>
      <c r="BH14">
        <v>0</v>
      </c>
      <c r="BI14">
        <v>0</v>
      </c>
      <c r="BJ14">
        <v>1</v>
      </c>
      <c r="BK14">
        <v>1</v>
      </c>
      <c r="BL14">
        <v>1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0x38,</v>
      </c>
      <c r="C15" t="str">
        <f t="shared" si="1"/>
        <v>56,</v>
      </c>
      <c r="D15" t="str">
        <f t="shared" si="2"/>
        <v>00111000</v>
      </c>
      <c r="E15">
        <v>0</v>
      </c>
      <c r="F15">
        <v>0</v>
      </c>
      <c r="G15">
        <v>1</v>
      </c>
      <c r="H15">
        <v>1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0x3E,</v>
      </c>
      <c r="AD15" t="str">
        <f t="shared" si="7"/>
        <v>62,</v>
      </c>
      <c r="AE15" t="str">
        <f t="shared" si="8"/>
        <v>00111110</v>
      </c>
      <c r="AF15">
        <v>0</v>
      </c>
      <c r="AG15">
        <v>0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0x1C,</v>
      </c>
      <c r="BE15" t="str">
        <f t="shared" si="13"/>
        <v>28,</v>
      </c>
      <c r="BF15" t="str">
        <f t="shared" si="14"/>
        <v>00011100</v>
      </c>
      <c r="BG15">
        <v>0</v>
      </c>
      <c r="BH15">
        <v>0</v>
      </c>
      <c r="BI15">
        <v>0</v>
      </c>
      <c r="BJ15">
        <v>1</v>
      </c>
      <c r="BK15">
        <v>1</v>
      </c>
      <c r="BL15">
        <v>1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0x38,</v>
      </c>
      <c r="C16" t="str">
        <f t="shared" si="1"/>
        <v>56,</v>
      </c>
      <c r="D16" t="str">
        <f t="shared" si="2"/>
        <v>00111000</v>
      </c>
      <c r="E16">
        <v>0</v>
      </c>
      <c r="F16">
        <v>0</v>
      </c>
      <c r="G16">
        <v>1</v>
      </c>
      <c r="H16">
        <v>1</v>
      </c>
      <c r="I16">
        <v>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0x77,</v>
      </c>
      <c r="AD16" t="str">
        <f t="shared" si="7"/>
        <v>119,</v>
      </c>
      <c r="AE16" t="str">
        <f t="shared" si="8"/>
        <v>01110111</v>
      </c>
      <c r="AF16">
        <v>0</v>
      </c>
      <c r="AG16">
        <v>1</v>
      </c>
      <c r="AH16">
        <v>1</v>
      </c>
      <c r="AI16">
        <v>1</v>
      </c>
      <c r="AJ16">
        <v>0</v>
      </c>
      <c r="AK16">
        <v>1</v>
      </c>
      <c r="AL16">
        <v>1</v>
      </c>
      <c r="AM16">
        <v>1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0x1C,</v>
      </c>
      <c r="BE16" t="str">
        <f t="shared" si="13"/>
        <v>28,</v>
      </c>
      <c r="BF16" t="str">
        <f t="shared" si="14"/>
        <v>00011100</v>
      </c>
      <c r="BG16">
        <v>0</v>
      </c>
      <c r="BH16">
        <v>0</v>
      </c>
      <c r="BI16">
        <v>0</v>
      </c>
      <c r="BJ16">
        <v>1</v>
      </c>
      <c r="BK16">
        <v>1</v>
      </c>
      <c r="BL16">
        <v>1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0x38,</v>
      </c>
      <c r="C17" t="str">
        <f t="shared" si="1"/>
        <v>56,</v>
      </c>
      <c r="D17" t="str">
        <f t="shared" si="2"/>
        <v>00111000</v>
      </c>
      <c r="E17">
        <v>0</v>
      </c>
      <c r="F17">
        <v>0</v>
      </c>
      <c r="G17">
        <v>1</v>
      </c>
      <c r="H17">
        <v>1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0x63,</v>
      </c>
      <c r="AD17" t="str">
        <f t="shared" si="7"/>
        <v>99,</v>
      </c>
      <c r="AE17" t="str">
        <f t="shared" si="8"/>
        <v>01100011</v>
      </c>
      <c r="AF17">
        <v>0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1</v>
      </c>
      <c r="AM17">
        <v>1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0x00,</v>
      </c>
      <c r="BE17" t="str">
        <f t="shared" si="13"/>
        <v>0,</v>
      </c>
      <c r="BF17" t="str">
        <f t="shared" si="14"/>
        <v>00000000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0x78,</v>
      </c>
      <c r="C18" t="str">
        <f t="shared" si="1"/>
        <v>120,</v>
      </c>
      <c r="D18" t="str">
        <f t="shared" si="2"/>
        <v>01111000</v>
      </c>
      <c r="E18">
        <v>0</v>
      </c>
      <c r="F18">
        <v>1</v>
      </c>
      <c r="G18">
        <v>1</v>
      </c>
      <c r="H18">
        <v>1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0x00,</v>
      </c>
      <c r="AD18" t="str">
        <f t="shared" si="7"/>
        <v>0,</v>
      </c>
      <c r="AE18" t="str">
        <f t="shared" si="8"/>
        <v>00000000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0x00,</v>
      </c>
      <c r="BE18" t="str">
        <f t="shared" si="13"/>
        <v>0,</v>
      </c>
      <c r="BF18" t="str">
        <f t="shared" si="14"/>
        <v>00000000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0xF0,</v>
      </c>
      <c r="C19" t="str">
        <f t="shared" si="1"/>
        <v>240,</v>
      </c>
      <c r="D19" t="str">
        <f t="shared" si="2"/>
        <v>11110000</v>
      </c>
      <c r="E19">
        <v>1</v>
      </c>
      <c r="F19">
        <v>1</v>
      </c>
      <c r="G19">
        <v>1</v>
      </c>
      <c r="H19">
        <v>1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0x00,</v>
      </c>
      <c r="AD19" t="str">
        <f t="shared" si="7"/>
        <v>0,</v>
      </c>
      <c r="AE19" t="str">
        <f t="shared" si="8"/>
        <v>00000000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0x00,</v>
      </c>
      <c r="BE19" t="str">
        <f t="shared" si="13"/>
        <v>0,</v>
      </c>
      <c r="BF19" t="str">
        <f t="shared" si="14"/>
        <v>00000000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0xE0,</v>
      </c>
      <c r="C20" t="str">
        <f t="shared" si="1"/>
        <v>224,</v>
      </c>
      <c r="D20" t="str">
        <f t="shared" si="2"/>
        <v>11100000</v>
      </c>
      <c r="E20">
        <v>1</v>
      </c>
      <c r="F20">
        <v>1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0x00,</v>
      </c>
      <c r="AD20" t="str">
        <f t="shared" si="7"/>
        <v>0,</v>
      </c>
      <c r="AE20" t="str">
        <f t="shared" si="8"/>
        <v>00000000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0x00,</v>
      </c>
      <c r="BE20" t="str">
        <f t="shared" si="13"/>
        <v>0,</v>
      </c>
      <c r="BF20" t="str">
        <f t="shared" si="14"/>
        <v>00000000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0</v>
      </c>
      <c r="K22">
        <f t="shared" si="18"/>
        <v>0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5,</v>
      </c>
      <c r="V22" t="str">
        <f>Y20&amp;DEC2HEX(U22,2)&amp;X20</f>
        <v xml:space="preserve"> 0x05,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9,</v>
      </c>
      <c r="AW22" t="str">
        <f>AZ20&amp;DEC2HEX(AV22,2)&amp;AY20</f>
        <v xml:space="preserve"> 0x09,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9,</v>
      </c>
      <c r="BX22" t="str">
        <f>CA20&amp;DEC2HEX(BW22,2)&amp;BZ20</f>
        <v xml:space="preserve"> 0x09,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5,224,0,240,0,120,0,56,0,56,0,56,0,56,0,56,0,56,0,56,0,56,0,56,0,56,0,120,0,240,0,224,0,//)//41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9,0,0,0,0,0,0,99,0,119,0,62,0,28,0,255,128,255,128,28,0,62,0,119,0,99,0,0,0,0,0,0,0,//*//42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9,0,0,0,0,0,0,0,0,28,0,28,0,28,0,255,128,255,128,28,0,28,0,28,0,0,0,0,0,0,0,0,0,//0//43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0x05, 0xE0, 0x00, 0xF0, 0x00, 0x78, 0x00, 0x38, 0x00, 0x38, 0x00, 0x38, 0x00, 0x38, 0x00, 0x38, 0x00, 0x38, 0x00, 0x38, 0x00, 0x38, 0x00, 0x38, 0x00, 0x38, 0x00, 0x78, 0x00, 0xF0, 0x00, 0xE0, 0x00,//)//41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0x09, 0x00, 0x00, 0x00, 0x00, 0x00, 0x00, 0x63, 0x00, 0x77, 0x00, 0x3E, 0x00, 0x1C, 0x00, 0xFF, 0x80, 0xFF, 0x80, 0x1C, 0x00, 0x3E, 0x00, 0x77, 0x00, 0x63, 0x00, 0x00, 0x00, 0x00, 0x00, 0x00, 0x00,//*//42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0x09, 0x00, 0x00, 0x00, 0x00, 0x00, 0x00, 0x00, 0x00, 0x1C, 0x00, 0x1C, 0x00, 0x1C, 0x00, 0xFF, 0x80, 0xFF, 0x80, 0x1C, 0x00, 0x1C, 0x00, 0x1C, 0x00, 0x00, 0x00, 0x00, 0x00, 0x00, 0x00, 0x00, 0x00,//0//43</v>
      </c>
    </row>
    <row r="28" spans="1:79">
      <c r="A28" s="1" t="str">
        <f>$B$24</f>
        <v>5,224,0,240,0,120,0,56,0,56,0,56,0,56,0,56,0,56,0,56,0,56,0,56,0,56,0,120,0,240,0,224,0,//)//41</v>
      </c>
      <c r="E28" t="s">
        <v>4</v>
      </c>
      <c r="AB28" s="1" t="str">
        <f>$AC$24</f>
        <v>9,0,0,0,0,0,0,99,0,119,0,62,0,28,0,255,128,255,128,28,0,62,0,119,0,99,0,0,0,0,0,0,0,//*//42</v>
      </c>
      <c r="AF28" t="s">
        <v>4</v>
      </c>
      <c r="BC28" s="1" t="str">
        <f>$BD$24</f>
        <v>9,0,0,0,0,0,0,0,0,28,0,28,0,28,0,255,128,255,128,28,0,28,0,28,0,0,0,0,0,0,0,0,0,//0//43</v>
      </c>
      <c r="BG28" t="s">
        <v>4</v>
      </c>
    </row>
    <row r="29" spans="1:79">
      <c r="A29" s="2" t="str">
        <f>$B$25</f>
        <v xml:space="preserve"> 0x05, 0xE0, 0x00, 0xF0, 0x00, 0x78, 0x00, 0x38, 0x00, 0x38, 0x00, 0x38, 0x00, 0x38, 0x00, 0x38, 0x00, 0x38, 0x00, 0x38, 0x00, 0x38, 0x00, 0x38, 0x00, 0x38, 0x00, 0x78, 0x00, 0xF0, 0x00, 0xE0, 0x00,//)//41</v>
      </c>
      <c r="E29" t="s">
        <v>3</v>
      </c>
      <c r="AB29" s="2" t="str">
        <f>$AC$25</f>
        <v xml:space="preserve"> 0x09, 0x00, 0x00, 0x00, 0x00, 0x00, 0x00, 0x63, 0x00, 0x77, 0x00, 0x3E, 0x00, 0x1C, 0x00, 0xFF, 0x80, 0xFF, 0x80, 0x1C, 0x00, 0x3E, 0x00, 0x77, 0x00, 0x63, 0x00, 0x00, 0x00, 0x00, 0x00, 0x00, 0x00,//*//42</v>
      </c>
      <c r="AF29" t="s">
        <v>3</v>
      </c>
      <c r="BC29" s="2" t="str">
        <f>$BD$25</f>
        <v xml:space="preserve"> 0x09, 0x00, 0x00, 0x00, 0x00, 0x00, 0x00, 0x00, 0x00, 0x1C, 0x00, 0x1C, 0x00, 0x1C, 0x00, 0xFF, 0x80, 0xFF, 0x80, 0x1C, 0x00, 0x1C, 0x00, 0x1C, 0x00, 0x00, 0x00, 0x00, 0x00, 0x00, 0x00, 0x00, 0x00,//0//43</v>
      </c>
      <c r="BG29" t="s">
        <v>3</v>
      </c>
    </row>
  </sheetData>
  <conditionalFormatting sqref="E5:T20">
    <cfRule type="colorScale" priority="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6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5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4:CB29"/>
  <sheetViews>
    <sheetView workbookViewId="0">
      <selection activeCell="M33" sqref="M33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44</v>
      </c>
      <c r="Z4" t="s">
        <v>5</v>
      </c>
      <c r="AB4" s="3">
        <v>45</v>
      </c>
      <c r="BA4" t="s">
        <v>5</v>
      </c>
      <c r="BC4" s="3">
        <v>46</v>
      </c>
      <c r="CB4" t="s">
        <v>5</v>
      </c>
    </row>
    <row r="5" spans="1:80">
      <c r="A5" s="3" t="s">
        <v>0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11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11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0x00,</v>
      </c>
      <c r="C9" t="str">
        <f t="shared" si="1"/>
        <v>0,</v>
      </c>
      <c r="D9" t="str">
        <f t="shared" si="2"/>
        <v>00000000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0x00,</v>
      </c>
      <c r="AD9" t="str">
        <f t="shared" si="7"/>
        <v>0,</v>
      </c>
      <c r="AE9" t="str">
        <f t="shared" si="8"/>
        <v>00000000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0x00,</v>
      </c>
      <c r="BE9" t="str">
        <f t="shared" si="13"/>
        <v>0,</v>
      </c>
      <c r="BF9" t="str">
        <f t="shared" si="14"/>
        <v>00000000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0x00,</v>
      </c>
      <c r="C10" t="str">
        <f t="shared" si="1"/>
        <v>0,</v>
      </c>
      <c r="D10" t="str">
        <f t="shared" si="2"/>
        <v>00000000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0x00,</v>
      </c>
      <c r="AD10" t="str">
        <f t="shared" si="7"/>
        <v>0,</v>
      </c>
      <c r="AE10" t="str">
        <f t="shared" si="8"/>
        <v>00000000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0x00,</v>
      </c>
      <c r="BE10" t="str">
        <f t="shared" si="13"/>
        <v>0,</v>
      </c>
      <c r="BF10" t="str">
        <f t="shared" si="14"/>
        <v>00000000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0x00,</v>
      </c>
      <c r="C11" t="str">
        <f t="shared" si="1"/>
        <v>0,</v>
      </c>
      <c r="D11" t="str">
        <f t="shared" si="2"/>
        <v>00000000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0x00,</v>
      </c>
      <c r="AD11" t="str">
        <f t="shared" si="7"/>
        <v>0,</v>
      </c>
      <c r="AE11" t="str">
        <f t="shared" si="8"/>
        <v>00000000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0x00,</v>
      </c>
      <c r="BE11" t="str">
        <f t="shared" si="13"/>
        <v>0,</v>
      </c>
      <c r="BF11" t="str">
        <f t="shared" si="14"/>
        <v>00000000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0x00,</v>
      </c>
      <c r="C12" t="str">
        <f t="shared" si="1"/>
        <v>0,</v>
      </c>
      <c r="D12" t="str">
        <f t="shared" si="2"/>
        <v>00000000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0xFF,</v>
      </c>
      <c r="AD12" t="str">
        <f t="shared" si="7"/>
        <v>255,</v>
      </c>
      <c r="AE12" t="str">
        <f t="shared" si="8"/>
        <v>11111111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10000000</v>
      </c>
      <c r="AW12" t="str">
        <f t="shared" si="10"/>
        <v>128,</v>
      </c>
      <c r="AX12" t="str">
        <f t="shared" si="11"/>
        <v xml:space="preserve"> 0x80,</v>
      </c>
      <c r="AY12" t="s">
        <v>0</v>
      </c>
      <c r="AZ12" t="s">
        <v>1</v>
      </c>
      <c r="BD12" t="str">
        <f t="shared" si="12"/>
        <v xml:space="preserve"> 0x00,</v>
      </c>
      <c r="BE12" t="str">
        <f t="shared" si="13"/>
        <v>0,</v>
      </c>
      <c r="BF12" t="str">
        <f t="shared" si="14"/>
        <v>00000000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0x00,</v>
      </c>
      <c r="C13" t="str">
        <f t="shared" si="1"/>
        <v>0,</v>
      </c>
      <c r="D13" t="str">
        <f t="shared" si="2"/>
        <v>00000000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0xFF,</v>
      </c>
      <c r="AD13" t="str">
        <f t="shared" si="7"/>
        <v>255,</v>
      </c>
      <c r="AE13" t="str">
        <f t="shared" si="8"/>
        <v>11111111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10000000</v>
      </c>
      <c r="AW13" t="str">
        <f t="shared" si="10"/>
        <v>128,</v>
      </c>
      <c r="AX13" t="str">
        <f t="shared" si="11"/>
        <v xml:space="preserve"> 0x80,</v>
      </c>
      <c r="AY13" t="s">
        <v>0</v>
      </c>
      <c r="AZ13" t="s">
        <v>1</v>
      </c>
      <c r="BD13" t="str">
        <f t="shared" si="12"/>
        <v xml:space="preserve"> 0x00,</v>
      </c>
      <c r="BE13" t="str">
        <f t="shared" si="13"/>
        <v>0,</v>
      </c>
      <c r="BF13" t="str">
        <f t="shared" si="14"/>
        <v>00000000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0x00,</v>
      </c>
      <c r="C14" t="str">
        <f t="shared" si="1"/>
        <v>0,</v>
      </c>
      <c r="D14" t="str">
        <f t="shared" si="2"/>
        <v>00000000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0x00,</v>
      </c>
      <c r="AD14" t="str">
        <f t="shared" si="7"/>
        <v>0,</v>
      </c>
      <c r="AE14" t="str">
        <f t="shared" si="8"/>
        <v>00000000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0x00,</v>
      </c>
      <c r="BE14" t="str">
        <f t="shared" si="13"/>
        <v>0,</v>
      </c>
      <c r="BF14" t="str">
        <f t="shared" si="14"/>
        <v>00000000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0x00,</v>
      </c>
      <c r="C15" t="str">
        <f t="shared" si="1"/>
        <v>0,</v>
      </c>
      <c r="D15" t="str">
        <f t="shared" si="2"/>
        <v>00000000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0x00,</v>
      </c>
      <c r="AD15" t="str">
        <f t="shared" si="7"/>
        <v>0,</v>
      </c>
      <c r="AE15" t="str">
        <f t="shared" si="8"/>
        <v>00000000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0x00,</v>
      </c>
      <c r="BE15" t="str">
        <f t="shared" si="13"/>
        <v>0,</v>
      </c>
      <c r="BF15" t="str">
        <f t="shared" si="14"/>
        <v>00000000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0x00,</v>
      </c>
      <c r="C16" t="str">
        <f t="shared" si="1"/>
        <v>0,</v>
      </c>
      <c r="D16" t="str">
        <f t="shared" si="2"/>
        <v>00000000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0x00,</v>
      </c>
      <c r="AD16" t="str">
        <f t="shared" si="7"/>
        <v>0,</v>
      </c>
      <c r="AE16" t="str">
        <f t="shared" si="8"/>
        <v>00000000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0x00,</v>
      </c>
      <c r="BE16" t="str">
        <f t="shared" si="13"/>
        <v>0,</v>
      </c>
      <c r="BF16" t="str">
        <f t="shared" si="14"/>
        <v>00000000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0xE0,</v>
      </c>
      <c r="C17" t="str">
        <f t="shared" si="1"/>
        <v>224,</v>
      </c>
      <c r="D17" t="str">
        <f t="shared" si="2"/>
        <v>11100000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0x00,</v>
      </c>
      <c r="AD17" t="str">
        <f t="shared" si="7"/>
        <v>0,</v>
      </c>
      <c r="AE17" t="str">
        <f t="shared" si="8"/>
        <v>00000000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0x00,</v>
      </c>
      <c r="BE17" t="str">
        <f t="shared" si="13"/>
        <v>0,</v>
      </c>
      <c r="BF17" t="str">
        <f t="shared" si="14"/>
        <v>00000000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0xE0,</v>
      </c>
      <c r="C18" t="str">
        <f t="shared" si="1"/>
        <v>224,</v>
      </c>
      <c r="D18" t="str">
        <f t="shared" si="2"/>
        <v>11100000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0x00,</v>
      </c>
      <c r="AD18" t="str">
        <f t="shared" si="7"/>
        <v>0,</v>
      </c>
      <c r="AE18" t="str">
        <f t="shared" si="8"/>
        <v>00000000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0xE0,</v>
      </c>
      <c r="BE18" t="str">
        <f t="shared" si="13"/>
        <v>224,</v>
      </c>
      <c r="BF18" t="str">
        <f t="shared" si="14"/>
        <v>11100000</v>
      </c>
      <c r="BG18">
        <v>1</v>
      </c>
      <c r="BH18">
        <v>1</v>
      </c>
      <c r="BI18">
        <v>1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0x60,</v>
      </c>
      <c r="C19" t="str">
        <f t="shared" si="1"/>
        <v>96,</v>
      </c>
      <c r="D19" t="str">
        <f t="shared" si="2"/>
        <v>01100000</v>
      </c>
      <c r="E19">
        <v>0</v>
      </c>
      <c r="F19">
        <v>1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0x00,</v>
      </c>
      <c r="AD19" t="str">
        <f t="shared" si="7"/>
        <v>0,</v>
      </c>
      <c r="AE19" t="str">
        <f t="shared" si="8"/>
        <v>00000000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0xE0,</v>
      </c>
      <c r="BE19" t="str">
        <f t="shared" si="13"/>
        <v>224,</v>
      </c>
      <c r="BF19" t="str">
        <f t="shared" si="14"/>
        <v>11100000</v>
      </c>
      <c r="BG19">
        <v>1</v>
      </c>
      <c r="BH19">
        <v>1</v>
      </c>
      <c r="BI19">
        <v>1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0xE0,</v>
      </c>
      <c r="C20" t="str">
        <f t="shared" si="1"/>
        <v>224,</v>
      </c>
      <c r="D20" t="str">
        <f t="shared" si="2"/>
        <v>11100000</v>
      </c>
      <c r="E20">
        <v>1</v>
      </c>
      <c r="F20">
        <v>1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0x00,</v>
      </c>
      <c r="AD20" t="str">
        <f t="shared" si="7"/>
        <v>0,</v>
      </c>
      <c r="AE20" t="str">
        <f t="shared" si="8"/>
        <v>00000000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0xE0,</v>
      </c>
      <c r="BE20" t="str">
        <f t="shared" si="13"/>
        <v>224,</v>
      </c>
      <c r="BF20" t="str">
        <f t="shared" si="14"/>
        <v>11100000</v>
      </c>
      <c r="BG20">
        <v>1</v>
      </c>
      <c r="BH20">
        <v>1</v>
      </c>
      <c r="BI20">
        <v>1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0</v>
      </c>
      <c r="I22">
        <f t="shared" si="18"/>
        <v>0</v>
      </c>
      <c r="J22">
        <f t="shared" si="18"/>
        <v>0</v>
      </c>
      <c r="K22">
        <f t="shared" si="18"/>
        <v>0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3,</v>
      </c>
      <c r="V22" t="str">
        <f>Y20&amp;DEC2HEX(U22,2)&amp;X20</f>
        <v xml:space="preserve"> 0x03,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9,</v>
      </c>
      <c r="AW22" t="str">
        <f>AZ20&amp;DEC2HEX(AV22,2)&amp;AY20</f>
        <v xml:space="preserve"> 0x09,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0</v>
      </c>
      <c r="BK22">
        <f t="shared" si="20"/>
        <v>0</v>
      </c>
      <c r="BL22">
        <f t="shared" si="20"/>
        <v>0</v>
      </c>
      <c r="BM22">
        <f t="shared" si="20"/>
        <v>0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3,</v>
      </c>
      <c r="BX22" t="str">
        <f>CA20&amp;DEC2HEX(BW22,2)&amp;BZ20</f>
        <v xml:space="preserve"> 0x03,</v>
      </c>
    </row>
    <row r="24" spans="1:79" hidden="1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3,0,0,0,0,0,0,0,0,0,0,0,0,0,0,0,0,0,0,0,0,0,0,0,0,224,0,224,0,96,0,224,0,//,//44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9,0,0,0,0,0,0,0,0,0,0,0,0,0,0,255,128,255,128,0,0,0,0,0,0,0,0,0,0,0,0,0,0,//.//45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3,0,0,0,0,0,0,0,0,0,0,0,0,0,0,0,0,0,0,0,0,0,0,0,0,0,0,224,0,224,0,224,0,//.//46</v>
      </c>
    </row>
    <row r="25" spans="1:79" hidden="1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0x03, 0x00, 0x00, 0x00, 0x00, 0x00, 0x00, 0x00, 0x00, 0x00, 0x00, 0x00, 0x00, 0x00, 0x00, 0x00, 0x00, 0x00, 0x00, 0x00, 0x00, 0x00, 0x00, 0x00, 0x00, 0xE0, 0x00, 0xE0, 0x00, 0x60, 0x00, 0xE0, 0x00,//,//44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0x09, 0x00, 0x00, 0x00, 0x00, 0x00, 0x00, 0x00, 0x00, 0x00, 0x00, 0x00, 0x00, 0x00, 0x00, 0xFF, 0x80, 0xFF, 0x80, 0x00, 0x00, 0x00, 0x00, 0x00, 0x00, 0x00, 0x00, 0x00, 0x00, 0x00, 0x00, 0x00, 0x00,//.//45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0x03, 0x00, 0x00, 0x00, 0x00, 0x00, 0x00, 0x00, 0x00, 0x00, 0x00, 0x00, 0x00, 0x00, 0x00, 0x00, 0x00, 0x00, 0x00, 0x00, 0x00, 0x00, 0x00, 0x00, 0x00, 0x00, 0x00, 0xE0, 0x00, 0xE0, 0x00, 0xE0, 0x00,//.//46</v>
      </c>
    </row>
    <row r="28" spans="1:79">
      <c r="A28" s="1" t="str">
        <f>$B$24</f>
        <v>3,0,0,0,0,0,0,0,0,0,0,0,0,0,0,0,0,0,0,0,0,0,0,0,0,224,0,224,0,96,0,224,0,//,//44</v>
      </c>
      <c r="E28" t="s">
        <v>4</v>
      </c>
      <c r="AB28" s="1" t="str">
        <f>$AC$24</f>
        <v>9,0,0,0,0,0,0,0,0,0,0,0,0,0,0,255,128,255,128,0,0,0,0,0,0,0,0,0,0,0,0,0,0,//.//45</v>
      </c>
      <c r="AF28" t="s">
        <v>4</v>
      </c>
      <c r="BC28" s="1" t="str">
        <f>$BD$24</f>
        <v>3,0,0,0,0,0,0,0,0,0,0,0,0,0,0,0,0,0,0,0,0,0,0,0,0,0,0,224,0,224,0,224,0,//.//46</v>
      </c>
      <c r="BG28" t="s">
        <v>4</v>
      </c>
    </row>
    <row r="29" spans="1:79">
      <c r="A29" s="2" t="str">
        <f>$B$25</f>
        <v xml:space="preserve"> 0x03, 0x00, 0x00, 0x00, 0x00, 0x00, 0x00, 0x00, 0x00, 0x00, 0x00, 0x00, 0x00, 0x00, 0x00, 0x00, 0x00, 0x00, 0x00, 0x00, 0x00, 0x00, 0x00, 0x00, 0x00, 0xE0, 0x00, 0xE0, 0x00, 0x60, 0x00, 0xE0, 0x00,//,//44</v>
      </c>
      <c r="E29" t="s">
        <v>3</v>
      </c>
      <c r="AB29" s="2" t="str">
        <f>$AC$25</f>
        <v xml:space="preserve"> 0x09, 0x00, 0x00, 0x00, 0x00, 0x00, 0x00, 0x00, 0x00, 0x00, 0x00, 0x00, 0x00, 0x00, 0x00, 0xFF, 0x80, 0xFF, 0x80, 0x00, 0x00, 0x00, 0x00, 0x00, 0x00, 0x00, 0x00, 0x00, 0x00, 0x00, 0x00, 0x00, 0x00,//.//45</v>
      </c>
      <c r="AF29" t="s">
        <v>3</v>
      </c>
      <c r="BC29" s="2" t="str">
        <f>$BD$25</f>
        <v xml:space="preserve"> 0x03, 0x00, 0x00, 0x00, 0x00, 0x00, 0x00, 0x00, 0x00, 0x00, 0x00, 0x00, 0x00, 0x00, 0x00, 0x00, 0x00, 0x00, 0x00, 0x00, 0x00, 0x00, 0x00, 0x00, 0x00, 0x00, 0x00, 0xE0, 0x00, 0xE0, 0x00, 0xE0, 0x00,//.//46</v>
      </c>
      <c r="BG29" t="s">
        <v>3</v>
      </c>
    </row>
  </sheetData>
  <conditionalFormatting sqref="E5:T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E5:T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4:CB29"/>
  <sheetViews>
    <sheetView workbookViewId="0">
      <selection activeCell="K32" sqref="K32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47</v>
      </c>
      <c r="Z4" t="s">
        <v>5</v>
      </c>
      <c r="AB4" s="3">
        <v>48</v>
      </c>
      <c r="BA4" t="s">
        <v>5</v>
      </c>
      <c r="BC4" s="3">
        <v>49</v>
      </c>
      <c r="CB4" t="s">
        <v>5</v>
      </c>
    </row>
    <row r="5" spans="1:80">
      <c r="A5" s="3" t="s">
        <v>229</v>
      </c>
      <c r="B5" t="str">
        <f>Z5&amp;Y5&amp;BIN2HEX(D5,2)&amp;X5</f>
        <v xml:space="preserve"> 0x38,</v>
      </c>
      <c r="C5" t="str">
        <f>Z5&amp;BIN2DEC(D5)&amp;X5</f>
        <v>56,</v>
      </c>
      <c r="D5" t="str">
        <f>E5&amp;F5&amp;G5&amp;H5&amp;I5&amp;J5&amp;K5&amp;L5</f>
        <v>00111000</v>
      </c>
      <c r="E5">
        <v>0</v>
      </c>
      <c r="F5">
        <v>0</v>
      </c>
      <c r="G5">
        <v>1</v>
      </c>
      <c r="H5">
        <v>1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>
        <v>0</v>
      </c>
      <c r="AC5" t="str">
        <f>BA5&amp;AZ5&amp;BIN2HEX(AE5,2)&amp;AY5</f>
        <v xml:space="preserve"> 0x3F,</v>
      </c>
      <c r="AD5" t="str">
        <f>BA5&amp;BIN2DEC(AE5)&amp;AY5</f>
        <v>63,</v>
      </c>
      <c r="AE5" t="str">
        <f>AF5&amp;AG5&amp;AH5&amp;AI5&amp;AJ5&amp;AK5&amp;AL5&amp;AM5</f>
        <v>00111111</v>
      </c>
      <c r="AF5">
        <v>0</v>
      </c>
      <c r="AG5">
        <v>0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11000000</v>
      </c>
      <c r="AW5" t="str">
        <f>BA5&amp;BIN2DEC(AV5)&amp;AY5</f>
        <v>192,</v>
      </c>
      <c r="AX5" t="str">
        <f>BA5&amp;AZ5&amp;BIN2HEX(AV5,2)&amp;AY5</f>
        <v xml:space="preserve"> 0xC0,</v>
      </c>
      <c r="AY5" t="s">
        <v>0</v>
      </c>
      <c r="AZ5" t="s">
        <v>1</v>
      </c>
      <c r="BC5" s="3">
        <v>1</v>
      </c>
      <c r="BD5" t="str">
        <f>CB5&amp;CA5&amp;BIN2HEX(BF5,2)&amp;BZ5</f>
        <v xml:space="preserve"> 0x1C,</v>
      </c>
      <c r="BE5" t="str">
        <f>CB5&amp;BIN2DEC(BF5)&amp;BZ5</f>
        <v>28,</v>
      </c>
      <c r="BF5" t="str">
        <f>BG5&amp;BH5&amp;BI5&amp;BJ5&amp;BK5&amp;BL5&amp;BM5&amp;BN5</f>
        <v>00011100</v>
      </c>
      <c r="BG5">
        <v>0</v>
      </c>
      <c r="BH5">
        <v>0</v>
      </c>
      <c r="BI5">
        <v>0</v>
      </c>
      <c r="BJ5">
        <v>1</v>
      </c>
      <c r="BK5">
        <v>1</v>
      </c>
      <c r="BL5">
        <v>1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0x38,</v>
      </c>
      <c r="C6" t="str">
        <f t="shared" ref="C6:C20" si="1">Z6&amp;BIN2DEC(D6)&amp;X6</f>
        <v>56,</v>
      </c>
      <c r="D6" t="str">
        <f t="shared" ref="D6:D20" si="2">E6&amp;F6&amp;G6&amp;H6&amp;I6&amp;J6&amp;K6&amp;L6</f>
        <v>00111000</v>
      </c>
      <c r="E6">
        <v>0</v>
      </c>
      <c r="F6">
        <v>0</v>
      </c>
      <c r="G6">
        <v>1</v>
      </c>
      <c r="H6">
        <v>1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0x7F,</v>
      </c>
      <c r="AD6" t="str">
        <f t="shared" ref="AD6:AD20" si="7">BA6&amp;BIN2DEC(AE6)&amp;AY6</f>
        <v>127,</v>
      </c>
      <c r="AE6" t="str">
        <f t="shared" ref="AE6:AE20" si="8">AF6&amp;AG6&amp;AH6&amp;AI6&amp;AJ6&amp;AK6&amp;AL6&amp;AM6</f>
        <v>01111111</v>
      </c>
      <c r="AF6">
        <v>0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11100000</v>
      </c>
      <c r="AW6" t="str">
        <f t="shared" ref="AW6:AW20" si="10">BA6&amp;BIN2DEC(AV6)&amp;AY6</f>
        <v>224,</v>
      </c>
      <c r="AX6" t="str">
        <f t="shared" ref="AX6:AX20" si="11">BA6&amp;AZ6&amp;BIN2HEX(AV6,2)&amp;AY6</f>
        <v xml:space="preserve"> 0xE0,</v>
      </c>
      <c r="AY6" t="s">
        <v>0</v>
      </c>
      <c r="AZ6" t="s">
        <v>1</v>
      </c>
      <c r="BD6" t="str">
        <f t="shared" ref="BD6:BD20" si="12">CB6&amp;CA6&amp;BIN2HEX(BF6,2)&amp;BZ6</f>
        <v xml:space="preserve"> 0x3C,</v>
      </c>
      <c r="BE6" t="str">
        <f t="shared" ref="BE6:BE20" si="13">CB6&amp;BIN2DEC(BF6)&amp;BZ6</f>
        <v>60,</v>
      </c>
      <c r="BF6" t="str">
        <f t="shared" ref="BF6:BF20" si="14">BG6&amp;BH6&amp;BI6&amp;BJ6&amp;BK6&amp;BL6&amp;BM6&amp;BN6</f>
        <v>00111100</v>
      </c>
      <c r="BG6">
        <v>0</v>
      </c>
      <c r="BH6">
        <v>0</v>
      </c>
      <c r="BI6">
        <v>1</v>
      </c>
      <c r="BJ6">
        <v>1</v>
      </c>
      <c r="BK6">
        <v>1</v>
      </c>
      <c r="BL6">
        <v>1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0x38,</v>
      </c>
      <c r="C7" t="str">
        <f t="shared" si="1"/>
        <v>56,</v>
      </c>
      <c r="D7" t="str">
        <f t="shared" si="2"/>
        <v>00111000</v>
      </c>
      <c r="E7">
        <v>0</v>
      </c>
      <c r="F7">
        <v>0</v>
      </c>
      <c r="G7">
        <v>1</v>
      </c>
      <c r="H7">
        <v>1</v>
      </c>
      <c r="I7">
        <v>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0xF0,</v>
      </c>
      <c r="AD7" t="str">
        <f t="shared" si="7"/>
        <v>240,</v>
      </c>
      <c r="AE7" t="str">
        <f t="shared" si="8"/>
        <v>11110000</v>
      </c>
      <c r="AF7">
        <v>1</v>
      </c>
      <c r="AG7">
        <v>1</v>
      </c>
      <c r="AH7">
        <v>1</v>
      </c>
      <c r="AI7">
        <v>1</v>
      </c>
      <c r="AJ7">
        <v>0</v>
      </c>
      <c r="AK7">
        <v>0</v>
      </c>
      <c r="AL7">
        <v>0</v>
      </c>
      <c r="AM7">
        <v>0</v>
      </c>
      <c r="AN7">
        <v>1</v>
      </c>
      <c r="AO7">
        <v>1</v>
      </c>
      <c r="AP7">
        <v>1</v>
      </c>
      <c r="AQ7">
        <v>1</v>
      </c>
      <c r="AR7">
        <v>0</v>
      </c>
      <c r="AS7">
        <v>0</v>
      </c>
      <c r="AT7">
        <v>0</v>
      </c>
      <c r="AU7">
        <v>0</v>
      </c>
      <c r="AV7" t="str">
        <f t="shared" si="9"/>
        <v>11110000</v>
      </c>
      <c r="AW7" t="str">
        <f t="shared" si="10"/>
        <v>240,</v>
      </c>
      <c r="AX7" t="str">
        <f t="shared" si="11"/>
        <v xml:space="preserve"> 0xF0,</v>
      </c>
      <c r="AY7" t="s">
        <v>0</v>
      </c>
      <c r="AZ7" t="s">
        <v>1</v>
      </c>
      <c r="BD7" t="str">
        <f t="shared" si="12"/>
        <v xml:space="preserve"> 0x7C,</v>
      </c>
      <c r="BE7" t="str">
        <f t="shared" si="13"/>
        <v>124,</v>
      </c>
      <c r="BF7" t="str">
        <f t="shared" si="14"/>
        <v>01111100</v>
      </c>
      <c r="BG7">
        <v>0</v>
      </c>
      <c r="BH7">
        <v>1</v>
      </c>
      <c r="BI7">
        <v>1</v>
      </c>
      <c r="BJ7">
        <v>1</v>
      </c>
      <c r="BK7">
        <v>1</v>
      </c>
      <c r="BL7">
        <v>1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0x38,</v>
      </c>
      <c r="C8" t="str">
        <f t="shared" si="1"/>
        <v>56,</v>
      </c>
      <c r="D8" t="str">
        <f t="shared" si="2"/>
        <v>00111000</v>
      </c>
      <c r="E8">
        <v>0</v>
      </c>
      <c r="F8">
        <v>0</v>
      </c>
      <c r="G8">
        <v>1</v>
      </c>
      <c r="H8">
        <v>1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0xE0,</v>
      </c>
      <c r="AD8" t="str">
        <f t="shared" si="7"/>
        <v>224,</v>
      </c>
      <c r="AE8" t="str">
        <f t="shared" si="8"/>
        <v>11100000</v>
      </c>
      <c r="AF8">
        <v>1</v>
      </c>
      <c r="AG8">
        <v>1</v>
      </c>
      <c r="AH8">
        <v>1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1</v>
      </c>
      <c r="AP8">
        <v>1</v>
      </c>
      <c r="AQ8">
        <v>1</v>
      </c>
      <c r="AR8">
        <v>0</v>
      </c>
      <c r="AS8">
        <v>0</v>
      </c>
      <c r="AT8">
        <v>0</v>
      </c>
      <c r="AU8">
        <v>0</v>
      </c>
      <c r="AV8" t="str">
        <f t="shared" si="9"/>
        <v>01110000</v>
      </c>
      <c r="AW8" t="str">
        <f t="shared" si="10"/>
        <v>112,</v>
      </c>
      <c r="AX8" t="str">
        <f t="shared" si="11"/>
        <v xml:space="preserve"> 0x70,</v>
      </c>
      <c r="AY8" t="s">
        <v>0</v>
      </c>
      <c r="AZ8" t="s">
        <v>1</v>
      </c>
      <c r="BD8" t="str">
        <f t="shared" si="12"/>
        <v xml:space="preserve"> 0xFC,</v>
      </c>
      <c r="BE8" t="str">
        <f t="shared" si="13"/>
        <v>252,</v>
      </c>
      <c r="BF8" t="str">
        <f t="shared" si="14"/>
        <v>11111100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0x38,</v>
      </c>
      <c r="C9" t="str">
        <f t="shared" si="1"/>
        <v>56,</v>
      </c>
      <c r="D9" t="str">
        <f t="shared" si="2"/>
        <v>00111000</v>
      </c>
      <c r="E9">
        <v>0</v>
      </c>
      <c r="F9">
        <v>0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0xE0,</v>
      </c>
      <c r="AD9" t="str">
        <f t="shared" si="7"/>
        <v>224,</v>
      </c>
      <c r="AE9" t="str">
        <f t="shared" si="8"/>
        <v>11100000</v>
      </c>
      <c r="AF9">
        <v>1</v>
      </c>
      <c r="AG9">
        <v>1</v>
      </c>
      <c r="AH9">
        <v>1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1</v>
      </c>
      <c r="AP9">
        <v>1</v>
      </c>
      <c r="AQ9">
        <v>1</v>
      </c>
      <c r="AR9">
        <v>0</v>
      </c>
      <c r="AS9">
        <v>0</v>
      </c>
      <c r="AT9">
        <v>0</v>
      </c>
      <c r="AU9">
        <v>0</v>
      </c>
      <c r="AV9" t="str">
        <f t="shared" si="9"/>
        <v>01110000</v>
      </c>
      <c r="AW9" t="str">
        <f t="shared" si="10"/>
        <v>112,</v>
      </c>
      <c r="AX9" t="str">
        <f t="shared" si="11"/>
        <v xml:space="preserve"> 0x70,</v>
      </c>
      <c r="AY9" t="s">
        <v>0</v>
      </c>
      <c r="AZ9" t="s">
        <v>1</v>
      </c>
      <c r="BD9" t="str">
        <f t="shared" si="12"/>
        <v xml:space="preserve"> 0xDC,</v>
      </c>
      <c r="BE9" t="str">
        <f t="shared" si="13"/>
        <v>220,</v>
      </c>
      <c r="BF9" t="str">
        <f t="shared" si="14"/>
        <v>11011100</v>
      </c>
      <c r="BG9">
        <v>1</v>
      </c>
      <c r="BH9">
        <v>1</v>
      </c>
      <c r="BI9">
        <v>0</v>
      </c>
      <c r="BJ9">
        <v>1</v>
      </c>
      <c r="BK9">
        <v>1</v>
      </c>
      <c r="BL9">
        <v>1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0x70,</v>
      </c>
      <c r="C10" t="str">
        <f t="shared" si="1"/>
        <v>112,</v>
      </c>
      <c r="D10" t="str">
        <f t="shared" si="2"/>
        <v>01110000</v>
      </c>
      <c r="E10">
        <v>0</v>
      </c>
      <c r="F10">
        <v>1</v>
      </c>
      <c r="G10">
        <v>1</v>
      </c>
      <c r="H10">
        <v>1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0xE0,</v>
      </c>
      <c r="AD10" t="str">
        <f t="shared" si="7"/>
        <v>224,</v>
      </c>
      <c r="AE10" t="str">
        <f t="shared" si="8"/>
        <v>11100000</v>
      </c>
      <c r="AF10">
        <v>1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1</v>
      </c>
      <c r="AP10">
        <v>1</v>
      </c>
      <c r="AQ10">
        <v>1</v>
      </c>
      <c r="AR10">
        <v>0</v>
      </c>
      <c r="AS10">
        <v>0</v>
      </c>
      <c r="AT10">
        <v>0</v>
      </c>
      <c r="AU10">
        <v>0</v>
      </c>
      <c r="AV10" t="str">
        <f t="shared" si="9"/>
        <v>01110000</v>
      </c>
      <c r="AW10" t="str">
        <f t="shared" si="10"/>
        <v>112,</v>
      </c>
      <c r="AX10" t="str">
        <f t="shared" si="11"/>
        <v xml:space="preserve"> 0x70,</v>
      </c>
      <c r="AY10" t="s">
        <v>0</v>
      </c>
      <c r="AZ10" t="s">
        <v>1</v>
      </c>
      <c r="BD10" t="str">
        <f t="shared" si="12"/>
        <v xml:space="preserve"> 0x1C,</v>
      </c>
      <c r="BE10" t="str">
        <f t="shared" si="13"/>
        <v>28,</v>
      </c>
      <c r="BF10" t="str">
        <f t="shared" si="14"/>
        <v>00011100</v>
      </c>
      <c r="BG10">
        <v>0</v>
      </c>
      <c r="BH10">
        <v>0</v>
      </c>
      <c r="BI10">
        <v>0</v>
      </c>
      <c r="BJ10">
        <v>1</v>
      </c>
      <c r="BK10">
        <v>1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0x70,</v>
      </c>
      <c r="C11" t="str">
        <f t="shared" si="1"/>
        <v>112,</v>
      </c>
      <c r="D11" t="str">
        <f t="shared" si="2"/>
        <v>01110000</v>
      </c>
      <c r="E11">
        <v>0</v>
      </c>
      <c r="F11">
        <v>1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0xE0,</v>
      </c>
      <c r="AD11" t="str">
        <f t="shared" si="7"/>
        <v>224,</v>
      </c>
      <c r="AE11" t="str">
        <f t="shared" si="8"/>
        <v>11100000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1</v>
      </c>
      <c r="AP11">
        <v>1</v>
      </c>
      <c r="AQ11">
        <v>1</v>
      </c>
      <c r="AR11">
        <v>0</v>
      </c>
      <c r="AS11">
        <v>0</v>
      </c>
      <c r="AT11">
        <v>0</v>
      </c>
      <c r="AU11">
        <v>0</v>
      </c>
      <c r="AV11" t="str">
        <f t="shared" si="9"/>
        <v>01110000</v>
      </c>
      <c r="AW11" t="str">
        <f t="shared" si="10"/>
        <v>112,</v>
      </c>
      <c r="AX11" t="str">
        <f t="shared" si="11"/>
        <v xml:space="preserve"> 0x70,</v>
      </c>
      <c r="AY11" t="s">
        <v>0</v>
      </c>
      <c r="AZ11" t="s">
        <v>1</v>
      </c>
      <c r="BD11" t="str">
        <f t="shared" si="12"/>
        <v xml:space="preserve"> 0x1C,</v>
      </c>
      <c r="BE11" t="str">
        <f t="shared" si="13"/>
        <v>28,</v>
      </c>
      <c r="BF11" t="str">
        <f t="shared" si="14"/>
        <v>00011100</v>
      </c>
      <c r="BG11">
        <v>0</v>
      </c>
      <c r="BH11">
        <v>0</v>
      </c>
      <c r="BI11">
        <v>0</v>
      </c>
      <c r="BJ11">
        <v>1</v>
      </c>
      <c r="BK11">
        <v>1</v>
      </c>
      <c r="BL11">
        <v>1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0x70,</v>
      </c>
      <c r="C12" t="str">
        <f t="shared" si="1"/>
        <v>112,</v>
      </c>
      <c r="D12" t="str">
        <f t="shared" si="2"/>
        <v>01110000</v>
      </c>
      <c r="E12">
        <v>0</v>
      </c>
      <c r="F12">
        <v>1</v>
      </c>
      <c r="G12">
        <v>1</v>
      </c>
      <c r="H12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0xE0,</v>
      </c>
      <c r="AD12" t="str">
        <f t="shared" si="7"/>
        <v>224,</v>
      </c>
      <c r="AE12" t="str">
        <f t="shared" si="8"/>
        <v>11100000</v>
      </c>
      <c r="AF12">
        <v>1</v>
      </c>
      <c r="AG12">
        <v>1</v>
      </c>
      <c r="AH12">
        <v>1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1</v>
      </c>
      <c r="AP12">
        <v>1</v>
      </c>
      <c r="AQ12">
        <v>1</v>
      </c>
      <c r="AR12">
        <v>0</v>
      </c>
      <c r="AS12">
        <v>0</v>
      </c>
      <c r="AT12">
        <v>0</v>
      </c>
      <c r="AU12">
        <v>0</v>
      </c>
      <c r="AV12" t="str">
        <f t="shared" si="9"/>
        <v>01110000</v>
      </c>
      <c r="AW12" t="str">
        <f t="shared" si="10"/>
        <v>112,</v>
      </c>
      <c r="AX12" t="str">
        <f t="shared" si="11"/>
        <v xml:space="preserve"> 0x70,</v>
      </c>
      <c r="AY12" t="s">
        <v>0</v>
      </c>
      <c r="AZ12" t="s">
        <v>1</v>
      </c>
      <c r="BD12" t="str">
        <f t="shared" si="12"/>
        <v xml:space="preserve"> 0x1C,</v>
      </c>
      <c r="BE12" t="str">
        <f t="shared" si="13"/>
        <v>28,</v>
      </c>
      <c r="BF12" t="str">
        <f t="shared" si="14"/>
        <v>00011100</v>
      </c>
      <c r="BG12">
        <v>0</v>
      </c>
      <c r="BH12">
        <v>0</v>
      </c>
      <c r="BI12">
        <v>0</v>
      </c>
      <c r="BJ12">
        <v>1</v>
      </c>
      <c r="BK12">
        <v>1</v>
      </c>
      <c r="BL12">
        <v>1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0x70,</v>
      </c>
      <c r="C13" t="str">
        <f t="shared" si="1"/>
        <v>112,</v>
      </c>
      <c r="D13" t="str">
        <f t="shared" si="2"/>
        <v>01110000</v>
      </c>
      <c r="E13">
        <v>0</v>
      </c>
      <c r="F13">
        <v>1</v>
      </c>
      <c r="G13">
        <v>1</v>
      </c>
      <c r="H1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0xE0,</v>
      </c>
      <c r="AD13" t="str">
        <f t="shared" si="7"/>
        <v>224,</v>
      </c>
      <c r="AE13" t="str">
        <f t="shared" si="8"/>
        <v>11100000</v>
      </c>
      <c r="AF13">
        <v>1</v>
      </c>
      <c r="AG13">
        <v>1</v>
      </c>
      <c r="AH13">
        <v>1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1</v>
      </c>
      <c r="AP13">
        <v>1</v>
      </c>
      <c r="AQ13">
        <v>1</v>
      </c>
      <c r="AR13">
        <v>0</v>
      </c>
      <c r="AS13">
        <v>0</v>
      </c>
      <c r="AT13">
        <v>0</v>
      </c>
      <c r="AU13">
        <v>0</v>
      </c>
      <c r="AV13" t="str">
        <f t="shared" si="9"/>
        <v>01110000</v>
      </c>
      <c r="AW13" t="str">
        <f t="shared" si="10"/>
        <v>112,</v>
      </c>
      <c r="AX13" t="str">
        <f t="shared" si="11"/>
        <v xml:space="preserve"> 0x70,</v>
      </c>
      <c r="AY13" t="s">
        <v>0</v>
      </c>
      <c r="AZ13" t="s">
        <v>1</v>
      </c>
      <c r="BD13" t="str">
        <f t="shared" si="12"/>
        <v xml:space="preserve"> 0x1C,</v>
      </c>
      <c r="BE13" t="str">
        <f t="shared" si="13"/>
        <v>28,</v>
      </c>
      <c r="BF13" t="str">
        <f t="shared" si="14"/>
        <v>00011100</v>
      </c>
      <c r="BG13">
        <v>0</v>
      </c>
      <c r="BH13">
        <v>0</v>
      </c>
      <c r="BI13">
        <v>0</v>
      </c>
      <c r="BJ13">
        <v>1</v>
      </c>
      <c r="BK13">
        <v>1</v>
      </c>
      <c r="BL13">
        <v>1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0x70,</v>
      </c>
      <c r="C14" t="str">
        <f t="shared" si="1"/>
        <v>112,</v>
      </c>
      <c r="D14" t="str">
        <f t="shared" si="2"/>
        <v>01110000</v>
      </c>
      <c r="E14">
        <v>0</v>
      </c>
      <c r="F14">
        <v>1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0xE0,</v>
      </c>
      <c r="AD14" t="str">
        <f t="shared" si="7"/>
        <v>224,</v>
      </c>
      <c r="AE14" t="str">
        <f t="shared" si="8"/>
        <v>11100000</v>
      </c>
      <c r="AF14">
        <v>1</v>
      </c>
      <c r="AG14">
        <v>1</v>
      </c>
      <c r="AH14">
        <v>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1</v>
      </c>
      <c r="AP14">
        <v>1</v>
      </c>
      <c r="AQ14">
        <v>1</v>
      </c>
      <c r="AR14">
        <v>0</v>
      </c>
      <c r="AS14">
        <v>0</v>
      </c>
      <c r="AT14">
        <v>0</v>
      </c>
      <c r="AU14">
        <v>0</v>
      </c>
      <c r="AV14" t="str">
        <f t="shared" si="9"/>
        <v>01110000</v>
      </c>
      <c r="AW14" t="str">
        <f t="shared" si="10"/>
        <v>112,</v>
      </c>
      <c r="AX14" t="str">
        <f t="shared" si="11"/>
        <v xml:space="preserve"> 0x70,</v>
      </c>
      <c r="AY14" t="s">
        <v>0</v>
      </c>
      <c r="AZ14" t="s">
        <v>1</v>
      </c>
      <c r="BD14" t="str">
        <f t="shared" si="12"/>
        <v xml:space="preserve"> 0x1C,</v>
      </c>
      <c r="BE14" t="str">
        <f t="shared" si="13"/>
        <v>28,</v>
      </c>
      <c r="BF14" t="str">
        <f t="shared" si="14"/>
        <v>00011100</v>
      </c>
      <c r="BG14">
        <v>0</v>
      </c>
      <c r="BH14">
        <v>0</v>
      </c>
      <c r="BI14">
        <v>0</v>
      </c>
      <c r="BJ14">
        <v>1</v>
      </c>
      <c r="BK14">
        <v>1</v>
      </c>
      <c r="BL14">
        <v>1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0x70,</v>
      </c>
      <c r="C15" t="str">
        <f t="shared" si="1"/>
        <v>112,</v>
      </c>
      <c r="D15" t="str">
        <f t="shared" si="2"/>
        <v>01110000</v>
      </c>
      <c r="E15">
        <v>0</v>
      </c>
      <c r="F15">
        <v>1</v>
      </c>
      <c r="G15">
        <v>1</v>
      </c>
      <c r="H15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0xE0,</v>
      </c>
      <c r="AD15" t="str">
        <f t="shared" si="7"/>
        <v>224,</v>
      </c>
      <c r="AE15" t="str">
        <f t="shared" si="8"/>
        <v>11100000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</v>
      </c>
      <c r="AR15">
        <v>0</v>
      </c>
      <c r="AS15">
        <v>0</v>
      </c>
      <c r="AT15">
        <v>0</v>
      </c>
      <c r="AU15">
        <v>0</v>
      </c>
      <c r="AV15" t="str">
        <f t="shared" si="9"/>
        <v>01110000</v>
      </c>
      <c r="AW15" t="str">
        <f t="shared" si="10"/>
        <v>112,</v>
      </c>
      <c r="AX15" t="str">
        <f t="shared" si="11"/>
        <v xml:space="preserve"> 0x70,</v>
      </c>
      <c r="AY15" t="s">
        <v>0</v>
      </c>
      <c r="AZ15" t="s">
        <v>1</v>
      </c>
      <c r="BD15" t="str">
        <f t="shared" si="12"/>
        <v xml:space="preserve"> 0x1C,</v>
      </c>
      <c r="BE15" t="str">
        <f t="shared" si="13"/>
        <v>28,</v>
      </c>
      <c r="BF15" t="str">
        <f t="shared" si="14"/>
        <v>00011100</v>
      </c>
      <c r="BG15">
        <v>0</v>
      </c>
      <c r="BH15">
        <v>0</v>
      </c>
      <c r="BI15">
        <v>0</v>
      </c>
      <c r="BJ15">
        <v>1</v>
      </c>
      <c r="BK15">
        <v>1</v>
      </c>
      <c r="BL15">
        <v>1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0xE0,</v>
      </c>
      <c r="C16" t="str">
        <f t="shared" si="1"/>
        <v>224,</v>
      </c>
      <c r="D16" t="str">
        <f t="shared" si="2"/>
        <v>11100000</v>
      </c>
      <c r="E16">
        <v>1</v>
      </c>
      <c r="F16">
        <v>1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0xE0,</v>
      </c>
      <c r="AD16" t="str">
        <f t="shared" si="7"/>
        <v>224,</v>
      </c>
      <c r="AE16" t="str">
        <f t="shared" si="8"/>
        <v>11100000</v>
      </c>
      <c r="AF16">
        <v>1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1</v>
      </c>
      <c r="AP16">
        <v>1</v>
      </c>
      <c r="AQ16">
        <v>1</v>
      </c>
      <c r="AR16">
        <v>0</v>
      </c>
      <c r="AS16">
        <v>0</v>
      </c>
      <c r="AT16">
        <v>0</v>
      </c>
      <c r="AU16">
        <v>0</v>
      </c>
      <c r="AV16" t="str">
        <f t="shared" si="9"/>
        <v>01110000</v>
      </c>
      <c r="AW16" t="str">
        <f t="shared" si="10"/>
        <v>112,</v>
      </c>
      <c r="AX16" t="str">
        <f t="shared" si="11"/>
        <v xml:space="preserve"> 0x70,</v>
      </c>
      <c r="AY16" t="s">
        <v>0</v>
      </c>
      <c r="AZ16" t="s">
        <v>1</v>
      </c>
      <c r="BD16" t="str">
        <f t="shared" si="12"/>
        <v xml:space="preserve"> 0x1C,</v>
      </c>
      <c r="BE16" t="str">
        <f t="shared" si="13"/>
        <v>28,</v>
      </c>
      <c r="BF16" t="str">
        <f t="shared" si="14"/>
        <v>00011100</v>
      </c>
      <c r="BG16">
        <v>0</v>
      </c>
      <c r="BH16">
        <v>0</v>
      </c>
      <c r="BI16">
        <v>0</v>
      </c>
      <c r="BJ16">
        <v>1</v>
      </c>
      <c r="BK16">
        <v>1</v>
      </c>
      <c r="BL16">
        <v>1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0xE0,</v>
      </c>
      <c r="C17" t="str">
        <f t="shared" si="1"/>
        <v>224,</v>
      </c>
      <c r="D17" t="str">
        <f t="shared" si="2"/>
        <v>11100000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0xE0,</v>
      </c>
      <c r="AD17" t="str">
        <f t="shared" si="7"/>
        <v>224,</v>
      </c>
      <c r="AE17" t="str">
        <f t="shared" si="8"/>
        <v>11100000</v>
      </c>
      <c r="AF17">
        <v>1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1</v>
      </c>
      <c r="AP17">
        <v>1</v>
      </c>
      <c r="AQ17">
        <v>1</v>
      </c>
      <c r="AR17">
        <v>0</v>
      </c>
      <c r="AS17">
        <v>0</v>
      </c>
      <c r="AT17">
        <v>0</v>
      </c>
      <c r="AU17">
        <v>0</v>
      </c>
      <c r="AV17" t="str">
        <f t="shared" si="9"/>
        <v>01110000</v>
      </c>
      <c r="AW17" t="str">
        <f t="shared" si="10"/>
        <v>112,</v>
      </c>
      <c r="AX17" t="str">
        <f t="shared" si="11"/>
        <v xml:space="preserve"> 0x70,</v>
      </c>
      <c r="AY17" t="s">
        <v>0</v>
      </c>
      <c r="AZ17" t="s">
        <v>1</v>
      </c>
      <c r="BD17" t="str">
        <f t="shared" si="12"/>
        <v xml:space="preserve"> 0x1C,</v>
      </c>
      <c r="BE17" t="str">
        <f t="shared" si="13"/>
        <v>28,</v>
      </c>
      <c r="BF17" t="str">
        <f t="shared" si="14"/>
        <v>00011100</v>
      </c>
      <c r="BG17">
        <v>0</v>
      </c>
      <c r="BH17">
        <v>0</v>
      </c>
      <c r="BI17">
        <v>0</v>
      </c>
      <c r="BJ17">
        <v>1</v>
      </c>
      <c r="BK17">
        <v>1</v>
      </c>
      <c r="BL17">
        <v>1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0xE0,</v>
      </c>
      <c r="C18" t="str">
        <f t="shared" si="1"/>
        <v>224,</v>
      </c>
      <c r="D18" t="str">
        <f t="shared" si="2"/>
        <v>11100000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0xF0,</v>
      </c>
      <c r="AD18" t="str">
        <f t="shared" si="7"/>
        <v>240,</v>
      </c>
      <c r="AE18" t="str">
        <f t="shared" si="8"/>
        <v>11110000</v>
      </c>
      <c r="AF18">
        <v>1</v>
      </c>
      <c r="AG18">
        <v>1</v>
      </c>
      <c r="AH18">
        <v>1</v>
      </c>
      <c r="AI18">
        <v>1</v>
      </c>
      <c r="AJ18">
        <v>0</v>
      </c>
      <c r="AK18">
        <v>0</v>
      </c>
      <c r="AL18">
        <v>0</v>
      </c>
      <c r="AM18">
        <v>0</v>
      </c>
      <c r="AN18">
        <v>1</v>
      </c>
      <c r="AO18">
        <v>1</v>
      </c>
      <c r="AP18">
        <v>1</v>
      </c>
      <c r="AQ18">
        <v>1</v>
      </c>
      <c r="AR18">
        <v>0</v>
      </c>
      <c r="AS18">
        <v>0</v>
      </c>
      <c r="AT18">
        <v>0</v>
      </c>
      <c r="AU18">
        <v>0</v>
      </c>
      <c r="AV18" t="str">
        <f t="shared" si="9"/>
        <v>11110000</v>
      </c>
      <c r="AW18" t="str">
        <f t="shared" si="10"/>
        <v>240,</v>
      </c>
      <c r="AX18" t="str">
        <f t="shared" si="11"/>
        <v xml:space="preserve"> 0xF0,</v>
      </c>
      <c r="AY18" t="s">
        <v>0</v>
      </c>
      <c r="AZ18" t="s">
        <v>1</v>
      </c>
      <c r="BD18" t="str">
        <f t="shared" si="12"/>
        <v xml:space="preserve"> 0x1C,</v>
      </c>
      <c r="BE18" t="str">
        <f t="shared" si="13"/>
        <v>28,</v>
      </c>
      <c r="BF18" t="str">
        <f t="shared" si="14"/>
        <v>00011100</v>
      </c>
      <c r="BG18">
        <v>0</v>
      </c>
      <c r="BH18">
        <v>0</v>
      </c>
      <c r="BI18">
        <v>0</v>
      </c>
      <c r="BJ18">
        <v>1</v>
      </c>
      <c r="BK18">
        <v>1</v>
      </c>
      <c r="BL18">
        <v>1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0xE0,</v>
      </c>
      <c r="C19" t="str">
        <f t="shared" si="1"/>
        <v>224,</v>
      </c>
      <c r="D19" t="str">
        <f t="shared" si="2"/>
        <v>11100000</v>
      </c>
      <c r="E19">
        <v>1</v>
      </c>
      <c r="F19">
        <v>1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0x7F,</v>
      </c>
      <c r="AD19" t="str">
        <f t="shared" si="7"/>
        <v>127,</v>
      </c>
      <c r="AE19" t="str">
        <f t="shared" si="8"/>
        <v>01111111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11100000</v>
      </c>
      <c r="AW19" t="str">
        <f t="shared" si="10"/>
        <v>224,</v>
      </c>
      <c r="AX19" t="str">
        <f t="shared" si="11"/>
        <v xml:space="preserve"> 0xE0,</v>
      </c>
      <c r="AY19" t="s">
        <v>0</v>
      </c>
      <c r="AZ19" t="s">
        <v>1</v>
      </c>
      <c r="BD19" t="str">
        <f t="shared" si="12"/>
        <v xml:space="preserve"> 0xFF,</v>
      </c>
      <c r="BE19" t="str">
        <f t="shared" si="13"/>
        <v>255,</v>
      </c>
      <c r="BF19" t="str">
        <f t="shared" si="14"/>
        <v>11111111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10000000</v>
      </c>
      <c r="BX19" t="str">
        <f t="shared" si="16"/>
        <v>128,</v>
      </c>
      <c r="BY19" t="str">
        <f t="shared" si="17"/>
        <v xml:space="preserve"> 0x80,</v>
      </c>
      <c r="BZ19" t="s">
        <v>0</v>
      </c>
      <c r="CA19" t="s">
        <v>1</v>
      </c>
    </row>
    <row r="20" spans="1:79">
      <c r="B20" t="str">
        <f t="shared" si="0"/>
        <v xml:space="preserve"> 0xE0,</v>
      </c>
      <c r="C20" t="str">
        <f t="shared" si="1"/>
        <v>224,</v>
      </c>
      <c r="D20" t="str">
        <f t="shared" si="2"/>
        <v>11100000</v>
      </c>
      <c r="E20">
        <v>1</v>
      </c>
      <c r="F20">
        <v>1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0x3F,</v>
      </c>
      <c r="AD20" t="str">
        <f t="shared" si="7"/>
        <v>63,</v>
      </c>
      <c r="AE20" t="str">
        <f t="shared" si="8"/>
        <v>00111111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11000000</v>
      </c>
      <c r="AW20" t="str">
        <f t="shared" si="10"/>
        <v>192,</v>
      </c>
      <c r="AX20" t="str">
        <f t="shared" si="11"/>
        <v xml:space="preserve"> 0xC0,</v>
      </c>
      <c r="AY20" t="s">
        <v>0</v>
      </c>
      <c r="AZ20" t="s">
        <v>1</v>
      </c>
      <c r="BD20" t="str">
        <f t="shared" si="12"/>
        <v xml:space="preserve"> 0xFF,</v>
      </c>
      <c r="BE20" t="str">
        <f t="shared" si="13"/>
        <v>255,</v>
      </c>
      <c r="BF20" t="str">
        <f t="shared" si="14"/>
        <v>11111111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10000000</v>
      </c>
      <c r="BX20" t="str">
        <f t="shared" si="16"/>
        <v>128,</v>
      </c>
      <c r="BY20" t="str">
        <f t="shared" si="17"/>
        <v xml:space="preserve"> 0x80,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0</v>
      </c>
      <c r="K22">
        <f t="shared" si="18"/>
        <v>0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5,</v>
      </c>
      <c r="V22" t="str">
        <f>Y20&amp;DEC2HEX(U22,2)&amp;X20</f>
        <v xml:space="preserve"> 0x05,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1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12,</v>
      </c>
      <c r="AW22" t="str">
        <f>AZ20&amp;DEC2HEX(AV22,2)&amp;AY20</f>
        <v xml:space="preserve"> 0x0C,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9,</v>
      </c>
      <c r="BX22" t="str">
        <f>CA20&amp;DEC2HEX(BW22,2)&amp;BZ20</f>
        <v xml:space="preserve"> 0x09,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5,56,0,56,0,56,0,56,0,56,0,112,0,112,0,112,0,112,0,112,0,112,0,224,0,224,0,224,0,224,0,224,0,/////47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12,63,192,127,224,240,240,224,112,224,112,224,112,224,112,224,112,224,112,224,112,224,112,224,112,224,112,240,240,127,224,63,192,//0//48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9,28,0,60,0,124,0,252,0,220,0,28,0,28,0,28,0,28,0,28,0,28,0,28,0,28,0,28,0,255,128,255,128,//1//49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0x05, 0x38, 0x00, 0x38, 0x00, 0x38, 0x00, 0x38, 0x00, 0x38, 0x00, 0x70, 0x00, 0x70, 0x00, 0x70, 0x00, 0x70, 0x00, 0x70, 0x00, 0x70, 0x00, 0xE0, 0x00, 0xE0, 0x00, 0xE0, 0x00, 0xE0, 0x00, 0xE0, 0x00,/////47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0x0C, 0x3F, 0xC0, 0x7F, 0xE0, 0xF0, 0xF0, 0xE0, 0x70, 0xE0, 0x70, 0xE0, 0x70, 0xE0, 0x70, 0xE0, 0x70, 0xE0, 0x70, 0xE0, 0x70, 0xE0, 0x70, 0xE0, 0x70, 0xE0, 0x70, 0xF0, 0xF0, 0x7F, 0xE0, 0x3F, 0xC0,//0//48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0x09, 0x1C, 0x00, 0x3C, 0x00, 0x7C, 0x00, 0xFC, 0x00, 0xDC, 0x00, 0x1C, 0x00, 0x1C, 0x00, 0x1C, 0x00, 0x1C, 0x00, 0x1C, 0x00, 0x1C, 0x00, 0x1C, 0x00, 0x1C, 0x00, 0x1C, 0x00, 0xFF, 0x80, 0xFF, 0x80,//1//49</v>
      </c>
    </row>
    <row r="28" spans="1:79">
      <c r="A28" s="1" t="str">
        <f>$B$24</f>
        <v>5,56,0,56,0,56,0,56,0,56,0,112,0,112,0,112,0,112,0,112,0,112,0,224,0,224,0,224,0,224,0,224,0,/////47</v>
      </c>
      <c r="E28" t="s">
        <v>4</v>
      </c>
      <c r="AB28" s="1" t="str">
        <f>$AC$24</f>
        <v>12,63,192,127,224,240,240,224,112,224,112,224,112,224,112,224,112,224,112,224,112,224,112,224,112,224,112,240,240,127,224,63,192,//0//48</v>
      </c>
      <c r="AF28" t="s">
        <v>4</v>
      </c>
      <c r="BC28" s="1" t="str">
        <f>$BD$24</f>
        <v>9,28,0,60,0,124,0,252,0,220,0,28,0,28,0,28,0,28,0,28,0,28,0,28,0,28,0,28,0,255,128,255,128,//1//49</v>
      </c>
      <c r="BG28" t="s">
        <v>4</v>
      </c>
    </row>
    <row r="29" spans="1:79">
      <c r="A29" s="2" t="str">
        <f>$B$25</f>
        <v xml:space="preserve"> 0x05, 0x38, 0x00, 0x38, 0x00, 0x38, 0x00, 0x38, 0x00, 0x38, 0x00, 0x70, 0x00, 0x70, 0x00, 0x70, 0x00, 0x70, 0x00, 0x70, 0x00, 0x70, 0x00, 0xE0, 0x00, 0xE0, 0x00, 0xE0, 0x00, 0xE0, 0x00, 0xE0, 0x00,/////47</v>
      </c>
      <c r="E29" t="s">
        <v>3</v>
      </c>
      <c r="AB29" s="2" t="str">
        <f>$AC$25</f>
        <v xml:space="preserve"> 0x0C, 0x3F, 0xC0, 0x7F, 0xE0, 0xF0, 0xF0, 0xE0, 0x70, 0xE0, 0x70, 0xE0, 0x70, 0xE0, 0x70, 0xE0, 0x70, 0xE0, 0x70, 0xE0, 0x70, 0xE0, 0x70, 0xE0, 0x70, 0xE0, 0x70, 0xF0, 0xF0, 0x7F, 0xE0, 0x3F, 0xC0,//0//48</v>
      </c>
      <c r="AF29" t="s">
        <v>3</v>
      </c>
      <c r="BC29" s="2" t="str">
        <f>$BD$25</f>
        <v xml:space="preserve"> 0x09, 0x1C, 0x00, 0x3C, 0x00, 0x7C, 0x00, 0xFC, 0x00, 0xDC, 0x00, 0x1C, 0x00, 0x1C, 0x00, 0x1C, 0x00, 0x1C, 0x00, 0x1C, 0x00, 0x1C, 0x00, 0x1C, 0x00, 0x1C, 0x00, 0x1C, 0x00, 0xFF, 0x80, 0xFF, 0x80,//1//49</v>
      </c>
      <c r="BG29" t="s">
        <v>3</v>
      </c>
    </row>
  </sheetData>
  <conditionalFormatting sqref="E5:T20">
    <cfRule type="colorScale" priority="1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1">
      <colorScale>
        <cfvo type="num" val="0"/>
        <cfvo type="num" val="1"/>
        <color theme="0" tint="-0.14999847407452621"/>
        <color rgb="FFFF0000"/>
      </colorScale>
    </cfRule>
  </conditionalFormatting>
  <conditionalFormatting sqref="AH6:AO7 AH18:AO19 AM8:AO17 AH8:AH17 AH20 AM20:AO20 AK16:AK17 AK20 AF6:AG20 AI8:AL15 AF5:AO5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78" priority="6" operator="greaterThan">
      <formula>1</formula>
    </cfRule>
  </conditionalFormatting>
  <conditionalFormatting sqref="BG6:BH20 BI6:BP7 BI18:BP19 BI8:BI17 BJ13:BM13 BJ8:BN12 BG5:BP5 BO8:BO17 BN13:BN17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O19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77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/>
  <dimension ref="A4:CB29"/>
  <sheetViews>
    <sheetView workbookViewId="0">
      <selection activeCell="S31" sqref="S31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50</v>
      </c>
      <c r="Z4" t="s">
        <v>5</v>
      </c>
      <c r="AB4" s="3">
        <v>51</v>
      </c>
      <c r="BA4" t="s">
        <v>5</v>
      </c>
      <c r="BC4" s="3">
        <v>52</v>
      </c>
      <c r="CB4" t="s">
        <v>5</v>
      </c>
    </row>
    <row r="5" spans="1:80">
      <c r="A5" s="3">
        <v>2</v>
      </c>
      <c r="B5" t="str">
        <f>Z5&amp;Y5&amp;BIN2HEX(D5,2)&amp;X5</f>
        <v xml:space="preserve"> 0x3F,</v>
      </c>
      <c r="C5" t="str">
        <f>Z5&amp;BIN2DEC(D5)&amp;X5</f>
        <v>63,</v>
      </c>
      <c r="D5" t="str">
        <f>E5&amp;F5&amp;G5&amp;H5&amp;I5&amp;J5&amp;K5&amp;L5</f>
        <v>00111111</v>
      </c>
      <c r="E5">
        <v>0</v>
      </c>
      <c r="F5">
        <v>0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11000000</v>
      </c>
      <c r="V5" t="str">
        <f>Z5&amp;BIN2DEC(U5)&amp;X5</f>
        <v>192,</v>
      </c>
      <c r="W5" t="str">
        <f>Z5&amp;Y5&amp;BIN2HEX(U5,2)&amp;X5</f>
        <v xml:space="preserve"> 0xC0,</v>
      </c>
      <c r="X5" t="s">
        <v>0</v>
      </c>
      <c r="Y5" t="s">
        <v>1</v>
      </c>
      <c r="AB5" s="3">
        <v>3</v>
      </c>
      <c r="AC5" t="str">
        <f>BA5&amp;AZ5&amp;BIN2HEX(AE5,2)&amp;AY5</f>
        <v xml:space="preserve"> 0xFF,</v>
      </c>
      <c r="AD5" t="str">
        <f>BA5&amp;BIN2DEC(AE5)&amp;AY5</f>
        <v>255,</v>
      </c>
      <c r="AE5" t="str">
        <f>AF5&amp;AG5&amp;AH5&amp;AI5&amp;AJ5&amp;AK5&amp;AL5&amp;AM5</f>
        <v>11111111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11110000</v>
      </c>
      <c r="AW5" t="str">
        <f>BA5&amp;BIN2DEC(AV5)&amp;AY5</f>
        <v>240,</v>
      </c>
      <c r="AX5" t="str">
        <f>BA5&amp;AZ5&amp;BIN2HEX(AV5,2)&amp;AY5</f>
        <v xml:space="preserve"> 0xF0,</v>
      </c>
      <c r="AY5" t="s">
        <v>0</v>
      </c>
      <c r="AZ5" t="s">
        <v>1</v>
      </c>
      <c r="BC5" s="3">
        <v>4</v>
      </c>
      <c r="BD5" t="str">
        <f>CB5&amp;CA5&amp;BIN2HEX(BF5,2)&amp;BZ5</f>
        <v xml:space="preserve"> 0x03,</v>
      </c>
      <c r="BE5" t="str">
        <f>CB5&amp;BIN2DEC(BF5)&amp;BZ5</f>
        <v>3,</v>
      </c>
      <c r="BF5" t="str">
        <f>BG5&amp;BH5&amp;BI5&amp;BJ5&amp;BK5&amp;BL5&amp;BM5&amp;BN5</f>
        <v>00000011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10000000</v>
      </c>
      <c r="BX5" t="str">
        <f>CB5&amp;BIN2DEC(BW5)&amp;BZ5</f>
        <v>128,</v>
      </c>
      <c r="BY5" t="str">
        <f>CB5&amp;CA5&amp;BIN2HEX(BW5,2)&amp;BZ5</f>
        <v xml:space="preserve"> 0x80,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0x7F,</v>
      </c>
      <c r="C6" t="str">
        <f t="shared" ref="C6:C20" si="1">Z6&amp;BIN2DEC(D6)&amp;X6</f>
        <v>127,</v>
      </c>
      <c r="D6" t="str">
        <f t="shared" ref="D6:D20" si="2">E6&amp;F6&amp;G6&amp;H6&amp;I6&amp;J6&amp;K6&amp;L6</f>
        <v>01111111</v>
      </c>
      <c r="E6">
        <v>0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11100000</v>
      </c>
      <c r="V6" t="str">
        <f t="shared" ref="V6:V20" si="4">Z6&amp;BIN2DEC(U6)&amp;X6</f>
        <v>224,</v>
      </c>
      <c r="W6" t="str">
        <f t="shared" ref="W6:W20" si="5">Z6&amp;Y6&amp;BIN2HEX(U6,2)&amp;X6</f>
        <v xml:space="preserve"> 0xE0,</v>
      </c>
      <c r="X6" t="s">
        <v>0</v>
      </c>
      <c r="Y6" t="s">
        <v>1</v>
      </c>
      <c r="AC6" t="str">
        <f t="shared" ref="AC6:AC20" si="6">BA6&amp;AZ6&amp;BIN2HEX(AE6,2)&amp;AY6</f>
        <v xml:space="preserve"> 0xFF,</v>
      </c>
      <c r="AD6" t="str">
        <f t="shared" ref="AD6:AD20" si="7">BA6&amp;BIN2DEC(AE6)&amp;AY6</f>
        <v>255,</v>
      </c>
      <c r="AE6" t="str">
        <f t="shared" ref="AE6:AE20" si="8">AF6&amp;AG6&amp;AH6&amp;AI6&amp;AJ6&amp;AK6&amp;AL6&amp;AM6</f>
        <v>11111111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11110000</v>
      </c>
      <c r="AW6" t="str">
        <f t="shared" ref="AW6:AW20" si="10">BA6&amp;BIN2DEC(AV6)&amp;AY6</f>
        <v>240,</v>
      </c>
      <c r="AX6" t="str">
        <f t="shared" ref="AX6:AX20" si="11">BA6&amp;AZ6&amp;BIN2HEX(AV6,2)&amp;AY6</f>
        <v xml:space="preserve"> 0xF0,</v>
      </c>
      <c r="AY6" t="s">
        <v>0</v>
      </c>
      <c r="AZ6" t="s">
        <v>1</v>
      </c>
      <c r="BD6" t="str">
        <f t="shared" ref="BD6:BD20" si="12">CB6&amp;CA6&amp;BIN2HEX(BF6,2)&amp;BZ6</f>
        <v xml:space="preserve"> 0x07,</v>
      </c>
      <c r="BE6" t="str">
        <f t="shared" ref="BE6:BE20" si="13">CB6&amp;BIN2DEC(BF6)&amp;BZ6</f>
        <v>7,</v>
      </c>
      <c r="BF6" t="str">
        <f t="shared" ref="BF6:BF20" si="14">BG6&amp;BH6&amp;BI6&amp;BJ6&amp;BK6&amp;BL6&amp;BM6&amp;BN6</f>
        <v>00000111</v>
      </c>
      <c r="BG6">
        <v>0</v>
      </c>
      <c r="BH6">
        <v>0</v>
      </c>
      <c r="BI6">
        <v>0</v>
      </c>
      <c r="BJ6">
        <v>0</v>
      </c>
      <c r="BK6">
        <v>0</v>
      </c>
      <c r="BL6">
        <v>1</v>
      </c>
      <c r="BM6">
        <v>1</v>
      </c>
      <c r="BN6">
        <v>1</v>
      </c>
      <c r="BO6">
        <v>1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10000000</v>
      </c>
      <c r="BX6" t="str">
        <f t="shared" ref="BX6:BX20" si="16">CB6&amp;BIN2DEC(BW6)&amp;BZ6</f>
        <v>128,</v>
      </c>
      <c r="BY6" t="str">
        <f t="shared" ref="BY6:BY20" si="17">CB6&amp;CA6&amp;BIN2HEX(BW6,2)&amp;BZ6</f>
        <v xml:space="preserve"> 0x80,</v>
      </c>
      <c r="BZ6" t="s">
        <v>0</v>
      </c>
      <c r="CA6" t="s">
        <v>1</v>
      </c>
    </row>
    <row r="7" spans="1:80">
      <c r="B7" t="str">
        <f t="shared" si="0"/>
        <v xml:space="preserve"> 0xF0,</v>
      </c>
      <c r="C7" t="str">
        <f t="shared" si="1"/>
        <v>240,</v>
      </c>
      <c r="D7" t="str">
        <f t="shared" si="2"/>
        <v>11110000</v>
      </c>
      <c r="E7">
        <v>1</v>
      </c>
      <c r="F7">
        <v>1</v>
      </c>
      <c r="G7">
        <v>1</v>
      </c>
      <c r="H7">
        <v>1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0</v>
      </c>
      <c r="R7">
        <v>0</v>
      </c>
      <c r="S7">
        <v>0</v>
      </c>
      <c r="T7">
        <v>0</v>
      </c>
      <c r="U7" t="str">
        <f t="shared" si="3"/>
        <v>11110000</v>
      </c>
      <c r="V7" t="str">
        <f t="shared" si="4"/>
        <v>240,</v>
      </c>
      <c r="W7" t="str">
        <f t="shared" si="5"/>
        <v xml:space="preserve"> 0xF0,</v>
      </c>
      <c r="X7" t="s">
        <v>0</v>
      </c>
      <c r="Y7" t="s">
        <v>1</v>
      </c>
      <c r="AC7" t="str">
        <f t="shared" si="6"/>
        <v xml:space="preserve"> 0xE0,</v>
      </c>
      <c r="AD7" t="str">
        <f t="shared" si="7"/>
        <v>224,</v>
      </c>
      <c r="AE7" t="str">
        <f t="shared" si="8"/>
        <v>11100000</v>
      </c>
      <c r="AF7">
        <v>1</v>
      </c>
      <c r="AG7">
        <v>1</v>
      </c>
      <c r="AH7">
        <v>1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1</v>
      </c>
      <c r="AP7">
        <v>1</v>
      </c>
      <c r="AQ7">
        <v>1</v>
      </c>
      <c r="AR7">
        <v>0</v>
      </c>
      <c r="AS7">
        <v>0</v>
      </c>
      <c r="AT7">
        <v>0</v>
      </c>
      <c r="AU7">
        <v>0</v>
      </c>
      <c r="AV7" t="str">
        <f t="shared" si="9"/>
        <v>01110000</v>
      </c>
      <c r="AW7" t="str">
        <f t="shared" si="10"/>
        <v>112,</v>
      </c>
      <c r="AX7" t="str">
        <f t="shared" si="11"/>
        <v xml:space="preserve"> 0x70,</v>
      </c>
      <c r="AY7" t="s">
        <v>0</v>
      </c>
      <c r="AZ7" t="s">
        <v>1</v>
      </c>
      <c r="BD7" t="str">
        <f t="shared" si="12"/>
        <v xml:space="preserve"> 0x07,</v>
      </c>
      <c r="BE7" t="str">
        <f t="shared" si="13"/>
        <v>7,</v>
      </c>
      <c r="BF7" t="str">
        <f t="shared" si="14"/>
        <v>00000111</v>
      </c>
      <c r="BG7">
        <v>0</v>
      </c>
      <c r="BH7">
        <v>0</v>
      </c>
      <c r="BI7">
        <v>0</v>
      </c>
      <c r="BJ7">
        <v>0</v>
      </c>
      <c r="BK7">
        <v>0</v>
      </c>
      <c r="BL7">
        <v>1</v>
      </c>
      <c r="BM7">
        <v>1</v>
      </c>
      <c r="BN7">
        <v>1</v>
      </c>
      <c r="BO7">
        <v>1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10000000</v>
      </c>
      <c r="BX7" t="str">
        <f t="shared" si="16"/>
        <v>128,</v>
      </c>
      <c r="BY7" t="str">
        <f t="shared" si="17"/>
        <v xml:space="preserve"> 0x80,</v>
      </c>
      <c r="BZ7" t="s">
        <v>0</v>
      </c>
      <c r="CA7" t="s">
        <v>1</v>
      </c>
    </row>
    <row r="8" spans="1:80">
      <c r="B8" t="str">
        <f t="shared" si="0"/>
        <v xml:space="preserve"> 0xE0,</v>
      </c>
      <c r="C8" t="str">
        <f t="shared" si="1"/>
        <v>224,</v>
      </c>
      <c r="D8" t="str">
        <f t="shared" si="2"/>
        <v>11100000</v>
      </c>
      <c r="E8">
        <v>1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0</v>
      </c>
      <c r="U8" t="str">
        <f t="shared" si="3"/>
        <v>01110000</v>
      </c>
      <c r="V8" t="str">
        <f t="shared" si="4"/>
        <v>112,</v>
      </c>
      <c r="W8" t="str">
        <f t="shared" si="5"/>
        <v xml:space="preserve"> 0x70,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1</v>
      </c>
      <c r="AO8">
        <v>1</v>
      </c>
      <c r="AP8">
        <v>1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11100000</v>
      </c>
      <c r="AW8" t="str">
        <f t="shared" si="10"/>
        <v>224,</v>
      </c>
      <c r="AX8" t="str">
        <f t="shared" si="11"/>
        <v xml:space="preserve"> 0xE0,</v>
      </c>
      <c r="AY8" t="s">
        <v>0</v>
      </c>
      <c r="AZ8" t="s">
        <v>1</v>
      </c>
      <c r="BD8" t="str">
        <f t="shared" si="12"/>
        <v xml:space="preserve"> 0x0F,</v>
      </c>
      <c r="BE8" t="str">
        <f t="shared" si="13"/>
        <v>15,</v>
      </c>
      <c r="BF8" t="str">
        <f t="shared" si="14"/>
        <v>00001111</v>
      </c>
      <c r="BG8">
        <v>0</v>
      </c>
      <c r="BH8">
        <v>0</v>
      </c>
      <c r="BI8">
        <v>0</v>
      </c>
      <c r="BJ8">
        <v>0</v>
      </c>
      <c r="BK8">
        <v>1</v>
      </c>
      <c r="BL8">
        <v>1</v>
      </c>
      <c r="BM8">
        <v>1</v>
      </c>
      <c r="BN8">
        <v>1</v>
      </c>
      <c r="BO8">
        <v>1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10000000</v>
      </c>
      <c r="BX8" t="str">
        <f t="shared" si="16"/>
        <v>128,</v>
      </c>
      <c r="BY8" t="str">
        <f t="shared" si="17"/>
        <v xml:space="preserve"> 0x80,</v>
      </c>
      <c r="BZ8" t="s">
        <v>0</v>
      </c>
      <c r="CA8" t="s">
        <v>1</v>
      </c>
    </row>
    <row r="9" spans="1:80">
      <c r="B9" t="str">
        <f t="shared" si="0"/>
        <v xml:space="preserve"> 0xE0,</v>
      </c>
      <c r="C9" t="str">
        <f t="shared" si="1"/>
        <v>224,</v>
      </c>
      <c r="D9" t="str">
        <f t="shared" si="2"/>
        <v>11100000</v>
      </c>
      <c r="E9">
        <v>1</v>
      </c>
      <c r="F9">
        <v>1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1</v>
      </c>
      <c r="O9">
        <v>1</v>
      </c>
      <c r="P9">
        <v>1</v>
      </c>
      <c r="Q9">
        <v>0</v>
      </c>
      <c r="R9">
        <v>0</v>
      </c>
      <c r="S9">
        <v>0</v>
      </c>
      <c r="T9">
        <v>0</v>
      </c>
      <c r="U9" t="str">
        <f t="shared" si="3"/>
        <v>01110000</v>
      </c>
      <c r="V9" t="str">
        <f t="shared" si="4"/>
        <v>112,</v>
      </c>
      <c r="W9" t="str">
        <f t="shared" si="5"/>
        <v xml:space="preserve"> 0x70,</v>
      </c>
      <c r="X9" t="s">
        <v>0</v>
      </c>
      <c r="Y9" t="s">
        <v>1</v>
      </c>
      <c r="AC9" t="str">
        <f t="shared" si="6"/>
        <v xml:space="preserve"> 0x01,</v>
      </c>
      <c r="AD9" t="str">
        <f t="shared" si="7"/>
        <v>1,</v>
      </c>
      <c r="AE9" t="str">
        <f t="shared" si="8"/>
        <v>00000001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</v>
      </c>
      <c r="AN9">
        <v>1</v>
      </c>
      <c r="AO9">
        <v>1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11000000</v>
      </c>
      <c r="AW9" t="str">
        <f t="shared" si="10"/>
        <v>192,</v>
      </c>
      <c r="AX9" t="str">
        <f t="shared" si="11"/>
        <v xml:space="preserve"> 0xC0,</v>
      </c>
      <c r="AY9" t="s">
        <v>0</v>
      </c>
      <c r="AZ9" t="s">
        <v>1</v>
      </c>
      <c r="BD9" t="str">
        <f t="shared" si="12"/>
        <v xml:space="preserve"> 0x1F,</v>
      </c>
      <c r="BE9" t="str">
        <f t="shared" si="13"/>
        <v>31,</v>
      </c>
      <c r="BF9" t="str">
        <f t="shared" si="14"/>
        <v>00011111</v>
      </c>
      <c r="BG9">
        <v>0</v>
      </c>
      <c r="BH9">
        <v>0</v>
      </c>
      <c r="BI9">
        <v>0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10000000</v>
      </c>
      <c r="BX9" t="str">
        <f t="shared" si="16"/>
        <v>128,</v>
      </c>
      <c r="BY9" t="str">
        <f t="shared" si="17"/>
        <v xml:space="preserve"> 0x80,</v>
      </c>
      <c r="BZ9" t="s">
        <v>0</v>
      </c>
      <c r="CA9" t="s">
        <v>1</v>
      </c>
    </row>
    <row r="10" spans="1:80">
      <c r="B10" t="str">
        <f t="shared" si="0"/>
        <v xml:space="preserve"> 0x00,</v>
      </c>
      <c r="C10" t="str">
        <f t="shared" si="1"/>
        <v>0,</v>
      </c>
      <c r="D10" t="str">
        <f t="shared" si="2"/>
        <v>00000000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1</v>
      </c>
      <c r="O10">
        <v>1</v>
      </c>
      <c r="P10">
        <v>1</v>
      </c>
      <c r="Q10">
        <v>0</v>
      </c>
      <c r="R10">
        <v>0</v>
      </c>
      <c r="S10">
        <v>0</v>
      </c>
      <c r="T10">
        <v>0</v>
      </c>
      <c r="U10" t="str">
        <f t="shared" si="3"/>
        <v>11110000</v>
      </c>
      <c r="V10" t="str">
        <f t="shared" si="4"/>
        <v>240,</v>
      </c>
      <c r="W10" t="str">
        <f t="shared" si="5"/>
        <v xml:space="preserve"> 0xF0,</v>
      </c>
      <c r="X10" t="s">
        <v>0</v>
      </c>
      <c r="Y10" t="s">
        <v>1</v>
      </c>
      <c r="AC10" t="str">
        <f t="shared" si="6"/>
        <v xml:space="preserve"> 0x03,</v>
      </c>
      <c r="AD10" t="str">
        <f t="shared" si="7"/>
        <v>3,</v>
      </c>
      <c r="AE10" t="str">
        <f t="shared" si="8"/>
        <v>00000011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1</v>
      </c>
      <c r="AM10">
        <v>1</v>
      </c>
      <c r="AN10">
        <v>1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10000000</v>
      </c>
      <c r="AW10" t="str">
        <f t="shared" si="10"/>
        <v>128,</v>
      </c>
      <c r="AX10" t="str">
        <f t="shared" si="11"/>
        <v xml:space="preserve"> 0x80,</v>
      </c>
      <c r="AY10" t="s">
        <v>0</v>
      </c>
      <c r="AZ10" t="s">
        <v>1</v>
      </c>
      <c r="BD10" t="str">
        <f t="shared" si="12"/>
        <v xml:space="preserve"> 0x3B,</v>
      </c>
      <c r="BE10" t="str">
        <f t="shared" si="13"/>
        <v>59,</v>
      </c>
      <c r="BF10" t="str">
        <f t="shared" si="14"/>
        <v>00111011</v>
      </c>
      <c r="BG10">
        <v>0</v>
      </c>
      <c r="BH10">
        <v>0</v>
      </c>
      <c r="BI10">
        <v>1</v>
      </c>
      <c r="BJ10">
        <v>1</v>
      </c>
      <c r="BK10">
        <v>1</v>
      </c>
      <c r="BL10">
        <v>0</v>
      </c>
      <c r="BM10">
        <v>1</v>
      </c>
      <c r="BN10">
        <v>1</v>
      </c>
      <c r="BO10">
        <v>1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10000000</v>
      </c>
      <c r="BX10" t="str">
        <f t="shared" si="16"/>
        <v>128,</v>
      </c>
      <c r="BY10" t="str">
        <f t="shared" si="17"/>
        <v xml:space="preserve"> 0x80,</v>
      </c>
      <c r="BZ10" t="s">
        <v>0</v>
      </c>
      <c r="CA10" t="s">
        <v>1</v>
      </c>
    </row>
    <row r="11" spans="1:80">
      <c r="B11" t="str">
        <f t="shared" si="0"/>
        <v xml:space="preserve"> 0x01,</v>
      </c>
      <c r="C11" t="str">
        <f t="shared" si="1"/>
        <v>1,</v>
      </c>
      <c r="D11" t="str">
        <f t="shared" si="2"/>
        <v>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  <c r="N11">
        <v>1</v>
      </c>
      <c r="O11">
        <v>1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11100000</v>
      </c>
      <c r="V11" t="str">
        <f t="shared" si="4"/>
        <v>224,</v>
      </c>
      <c r="W11" t="str">
        <f t="shared" si="5"/>
        <v xml:space="preserve"> 0xE0,</v>
      </c>
      <c r="X11" t="s">
        <v>0</v>
      </c>
      <c r="Y11" t="s">
        <v>1</v>
      </c>
      <c r="AC11" t="str">
        <f t="shared" si="6"/>
        <v xml:space="preserve"> 0x07,</v>
      </c>
      <c r="AD11" t="str">
        <f t="shared" si="7"/>
        <v>7,</v>
      </c>
      <c r="AE11" t="str">
        <f t="shared" si="8"/>
        <v>00000111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0x3B,</v>
      </c>
      <c r="BE11" t="str">
        <f t="shared" si="13"/>
        <v>59,</v>
      </c>
      <c r="BF11" t="str">
        <f t="shared" si="14"/>
        <v>00111011</v>
      </c>
      <c r="BG11">
        <v>0</v>
      </c>
      <c r="BH11">
        <v>0</v>
      </c>
      <c r="BI11">
        <v>1</v>
      </c>
      <c r="BJ11">
        <v>1</v>
      </c>
      <c r="BK11">
        <v>1</v>
      </c>
      <c r="BL11">
        <v>0</v>
      </c>
      <c r="BM11">
        <v>1</v>
      </c>
      <c r="BN11">
        <v>1</v>
      </c>
      <c r="BO11">
        <v>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10000000</v>
      </c>
      <c r="BX11" t="str">
        <f t="shared" si="16"/>
        <v>128,</v>
      </c>
      <c r="BY11" t="str">
        <f t="shared" si="17"/>
        <v xml:space="preserve"> 0x80,</v>
      </c>
      <c r="BZ11" t="s">
        <v>0</v>
      </c>
      <c r="CA11" t="s">
        <v>1</v>
      </c>
    </row>
    <row r="12" spans="1:80">
      <c r="B12" t="str">
        <f t="shared" si="0"/>
        <v xml:space="preserve"> 0x03,</v>
      </c>
      <c r="C12" t="str">
        <f t="shared" si="1"/>
        <v>3,</v>
      </c>
      <c r="D12" t="str">
        <f t="shared" si="2"/>
        <v>00000011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0x0F,</v>
      </c>
      <c r="AD12" t="str">
        <f t="shared" si="7"/>
        <v>15,</v>
      </c>
      <c r="AE12" t="str">
        <f t="shared" si="8"/>
        <v>00001111</v>
      </c>
      <c r="AF12">
        <v>0</v>
      </c>
      <c r="AG12">
        <v>0</v>
      </c>
      <c r="AH12">
        <v>0</v>
      </c>
      <c r="AI12">
        <v>0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0</v>
      </c>
      <c r="AS12">
        <v>0</v>
      </c>
      <c r="AT12">
        <v>0</v>
      </c>
      <c r="AU12">
        <v>0</v>
      </c>
      <c r="AV12" t="str">
        <f t="shared" si="9"/>
        <v>11110000</v>
      </c>
      <c r="AW12" t="str">
        <f t="shared" si="10"/>
        <v>240,</v>
      </c>
      <c r="AX12" t="str">
        <f t="shared" si="11"/>
        <v xml:space="preserve"> 0xF0,</v>
      </c>
      <c r="AY12" t="s">
        <v>0</v>
      </c>
      <c r="AZ12" t="s">
        <v>1</v>
      </c>
      <c r="BD12" t="str">
        <f t="shared" si="12"/>
        <v xml:space="preserve"> 0x73,</v>
      </c>
      <c r="BE12" t="str">
        <f t="shared" si="13"/>
        <v>115,</v>
      </c>
      <c r="BF12" t="str">
        <f t="shared" si="14"/>
        <v>01110011</v>
      </c>
      <c r="BG12">
        <v>0</v>
      </c>
      <c r="BH12">
        <v>1</v>
      </c>
      <c r="BI12">
        <v>1</v>
      </c>
      <c r="BJ12">
        <v>1</v>
      </c>
      <c r="BK12">
        <v>0</v>
      </c>
      <c r="BL12">
        <v>0</v>
      </c>
      <c r="BM12">
        <v>1</v>
      </c>
      <c r="BN12">
        <v>1</v>
      </c>
      <c r="BO12">
        <v>1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10000000</v>
      </c>
      <c r="BX12" t="str">
        <f t="shared" si="16"/>
        <v>128,</v>
      </c>
      <c r="BY12" t="str">
        <f t="shared" si="17"/>
        <v xml:space="preserve"> 0x80,</v>
      </c>
      <c r="BZ12" t="s">
        <v>0</v>
      </c>
      <c r="CA12" t="s">
        <v>1</v>
      </c>
    </row>
    <row r="13" spans="1:80">
      <c r="B13" t="str">
        <f t="shared" si="0"/>
        <v xml:space="preserve"> 0x07,</v>
      </c>
      <c r="C13" t="str">
        <f t="shared" si="1"/>
        <v>7,</v>
      </c>
      <c r="D13" t="str">
        <f t="shared" si="2"/>
        <v>00000111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1</v>
      </c>
      <c r="L13">
        <v>1</v>
      </c>
      <c r="M13">
        <v>1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10000000</v>
      </c>
      <c r="V13" t="str">
        <f t="shared" si="4"/>
        <v>128,</v>
      </c>
      <c r="W13" t="str">
        <f t="shared" si="5"/>
        <v xml:space="preserve"> 0x80,</v>
      </c>
      <c r="X13" t="s">
        <v>0</v>
      </c>
      <c r="Y13" t="s">
        <v>1</v>
      </c>
      <c r="AC13" t="str">
        <f t="shared" si="6"/>
        <v xml:space="preserve"> 0x0F,</v>
      </c>
      <c r="AD13" t="str">
        <f t="shared" si="7"/>
        <v>15,</v>
      </c>
      <c r="AE13" t="str">
        <f t="shared" si="8"/>
        <v>00001111</v>
      </c>
      <c r="AF13">
        <v>0</v>
      </c>
      <c r="AG13">
        <v>0</v>
      </c>
      <c r="AH13">
        <v>0</v>
      </c>
      <c r="AI13">
        <v>0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0</v>
      </c>
      <c r="AS13">
        <v>0</v>
      </c>
      <c r="AT13">
        <v>0</v>
      </c>
      <c r="AU13">
        <v>0</v>
      </c>
      <c r="AV13" t="str">
        <f t="shared" si="9"/>
        <v>11110000</v>
      </c>
      <c r="AW13" t="str">
        <f t="shared" si="10"/>
        <v>240,</v>
      </c>
      <c r="AX13" t="str">
        <f t="shared" si="11"/>
        <v xml:space="preserve"> 0xF0,</v>
      </c>
      <c r="AY13" t="s">
        <v>0</v>
      </c>
      <c r="AZ13" t="s">
        <v>1</v>
      </c>
      <c r="BD13" t="str">
        <f t="shared" si="12"/>
        <v xml:space="preserve"> 0xE3,</v>
      </c>
      <c r="BE13" t="str">
        <f t="shared" si="13"/>
        <v>227,</v>
      </c>
      <c r="BF13" t="str">
        <f t="shared" si="14"/>
        <v>11100011</v>
      </c>
      <c r="BG13">
        <v>1</v>
      </c>
      <c r="BH13">
        <v>1</v>
      </c>
      <c r="BI13">
        <v>1</v>
      </c>
      <c r="BJ13">
        <v>0</v>
      </c>
      <c r="BK13">
        <v>0</v>
      </c>
      <c r="BL13">
        <v>0</v>
      </c>
      <c r="BM13">
        <v>1</v>
      </c>
      <c r="BN13">
        <v>1</v>
      </c>
      <c r="BO13">
        <v>1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10000000</v>
      </c>
      <c r="BX13" t="str">
        <f t="shared" si="16"/>
        <v>128,</v>
      </c>
      <c r="BY13" t="str">
        <f t="shared" si="17"/>
        <v xml:space="preserve"> 0x80,</v>
      </c>
      <c r="BZ13" t="s">
        <v>0</v>
      </c>
      <c r="CA13" t="s">
        <v>1</v>
      </c>
    </row>
    <row r="14" spans="1:80">
      <c r="B14" t="str">
        <f t="shared" si="0"/>
        <v xml:space="preserve"> 0x0F,</v>
      </c>
      <c r="C14" t="str">
        <f t="shared" si="1"/>
        <v>15,</v>
      </c>
      <c r="D14" t="str">
        <f t="shared" si="2"/>
        <v>00001111</v>
      </c>
      <c r="E14">
        <v>0</v>
      </c>
      <c r="F14">
        <v>0</v>
      </c>
      <c r="G14">
        <v>0</v>
      </c>
      <c r="H14">
        <v>0</v>
      </c>
      <c r="I14">
        <v>1</v>
      </c>
      <c r="J14">
        <v>1</v>
      </c>
      <c r="K14">
        <v>1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0x00,</v>
      </c>
      <c r="AD14" t="str">
        <f t="shared" si="7"/>
        <v>0,</v>
      </c>
      <c r="AE14" t="str">
        <f t="shared" si="8"/>
        <v>00000000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1</v>
      </c>
      <c r="AP14">
        <v>1</v>
      </c>
      <c r="AQ14">
        <v>1</v>
      </c>
      <c r="AR14">
        <v>0</v>
      </c>
      <c r="AS14">
        <v>0</v>
      </c>
      <c r="AT14">
        <v>0</v>
      </c>
      <c r="AU14">
        <v>0</v>
      </c>
      <c r="AV14" t="str">
        <f t="shared" si="9"/>
        <v>01110000</v>
      </c>
      <c r="AW14" t="str">
        <f t="shared" si="10"/>
        <v>112,</v>
      </c>
      <c r="AX14" t="str">
        <f t="shared" si="11"/>
        <v xml:space="preserve"> 0x70,</v>
      </c>
      <c r="AY14" t="s">
        <v>0</v>
      </c>
      <c r="AZ14" t="s">
        <v>1</v>
      </c>
      <c r="BD14" t="str">
        <f t="shared" si="12"/>
        <v xml:space="preserve"> 0xE3,</v>
      </c>
      <c r="BE14" t="str">
        <f t="shared" si="13"/>
        <v>227,</v>
      </c>
      <c r="BF14" t="str">
        <f t="shared" si="14"/>
        <v>11100011</v>
      </c>
      <c r="BG14">
        <v>1</v>
      </c>
      <c r="BH14">
        <v>1</v>
      </c>
      <c r="BI14">
        <v>1</v>
      </c>
      <c r="BJ14">
        <v>0</v>
      </c>
      <c r="BK14">
        <v>0</v>
      </c>
      <c r="BL14">
        <v>0</v>
      </c>
      <c r="BM14">
        <v>1</v>
      </c>
      <c r="BN14">
        <v>1</v>
      </c>
      <c r="BO14">
        <v>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10000000</v>
      </c>
      <c r="BX14" t="str">
        <f t="shared" si="16"/>
        <v>128,</v>
      </c>
      <c r="BY14" t="str">
        <f t="shared" si="17"/>
        <v xml:space="preserve"> 0x80,</v>
      </c>
      <c r="BZ14" t="s">
        <v>0</v>
      </c>
      <c r="CA14" t="s">
        <v>1</v>
      </c>
    </row>
    <row r="15" spans="1:80">
      <c r="B15" t="str">
        <f t="shared" si="0"/>
        <v xml:space="preserve"> 0x1E,</v>
      </c>
      <c r="C15" t="str">
        <f t="shared" si="1"/>
        <v>30,</v>
      </c>
      <c r="D15" t="str">
        <f t="shared" si="2"/>
        <v>00011110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0x00,</v>
      </c>
      <c r="AD15" t="str">
        <f t="shared" si="7"/>
        <v>0,</v>
      </c>
      <c r="AE15" t="str">
        <f t="shared" si="8"/>
        <v>00000000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</v>
      </c>
      <c r="AR15">
        <v>0</v>
      </c>
      <c r="AS15">
        <v>0</v>
      </c>
      <c r="AT15">
        <v>0</v>
      </c>
      <c r="AU15">
        <v>0</v>
      </c>
      <c r="AV15" t="str">
        <f t="shared" si="9"/>
        <v>01110000</v>
      </c>
      <c r="AW15" t="str">
        <f t="shared" si="10"/>
        <v>112,</v>
      </c>
      <c r="AX15" t="str">
        <f t="shared" si="11"/>
        <v xml:space="preserve"> 0x70,</v>
      </c>
      <c r="AY15" t="s">
        <v>0</v>
      </c>
      <c r="AZ15" t="s">
        <v>1</v>
      </c>
      <c r="BD15" t="str">
        <f t="shared" si="12"/>
        <v xml:space="preserve"> 0xFF,</v>
      </c>
      <c r="BE15" t="str">
        <f t="shared" si="13"/>
        <v>255,</v>
      </c>
      <c r="BF15" t="str">
        <f t="shared" si="14"/>
        <v>11111111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0</v>
      </c>
      <c r="BT15">
        <v>0</v>
      </c>
      <c r="BU15">
        <v>0</v>
      </c>
      <c r="BV15">
        <v>0</v>
      </c>
      <c r="BW15" t="str">
        <f t="shared" si="15"/>
        <v>11110000</v>
      </c>
      <c r="BX15" t="str">
        <f t="shared" si="16"/>
        <v>240,</v>
      </c>
      <c r="BY15" t="str">
        <f t="shared" si="17"/>
        <v xml:space="preserve"> 0xF0,</v>
      </c>
      <c r="BZ15" t="s">
        <v>0</v>
      </c>
      <c r="CA15" t="s">
        <v>1</v>
      </c>
    </row>
    <row r="16" spans="1:80">
      <c r="B16" t="str">
        <f t="shared" si="0"/>
        <v xml:space="preserve"> 0x3C,</v>
      </c>
      <c r="C16" t="str">
        <f t="shared" si="1"/>
        <v>60,</v>
      </c>
      <c r="D16" t="str">
        <f t="shared" si="2"/>
        <v>00111100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0x00,</v>
      </c>
      <c r="AD16" t="str">
        <f t="shared" si="7"/>
        <v>0,</v>
      </c>
      <c r="AE16" t="str">
        <f t="shared" si="8"/>
        <v>00000000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1</v>
      </c>
      <c r="AP16">
        <v>1</v>
      </c>
      <c r="AQ16">
        <v>1</v>
      </c>
      <c r="AR16">
        <v>0</v>
      </c>
      <c r="AS16">
        <v>0</v>
      </c>
      <c r="AT16">
        <v>0</v>
      </c>
      <c r="AU16">
        <v>0</v>
      </c>
      <c r="AV16" t="str">
        <f t="shared" si="9"/>
        <v>01110000</v>
      </c>
      <c r="AW16" t="str">
        <f t="shared" si="10"/>
        <v>112,</v>
      </c>
      <c r="AX16" t="str">
        <f t="shared" si="11"/>
        <v xml:space="preserve"> 0x70,</v>
      </c>
      <c r="AY16" t="s">
        <v>0</v>
      </c>
      <c r="AZ16" t="s">
        <v>1</v>
      </c>
      <c r="BD16" t="str">
        <f t="shared" si="12"/>
        <v xml:space="preserve"> 0xFF,</v>
      </c>
      <c r="BE16" t="str">
        <f t="shared" si="13"/>
        <v>255,</v>
      </c>
      <c r="BF16" t="str">
        <f t="shared" si="14"/>
        <v>11111111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0</v>
      </c>
      <c r="BT16">
        <v>0</v>
      </c>
      <c r="BU16">
        <v>0</v>
      </c>
      <c r="BV16">
        <v>0</v>
      </c>
      <c r="BW16" t="str">
        <f t="shared" si="15"/>
        <v>11110000</v>
      </c>
      <c r="BX16" t="str">
        <f t="shared" si="16"/>
        <v>240,</v>
      </c>
      <c r="BY16" t="str">
        <f t="shared" si="17"/>
        <v xml:space="preserve"> 0xF0,</v>
      </c>
      <c r="BZ16" t="s">
        <v>0</v>
      </c>
      <c r="CA16" t="s">
        <v>1</v>
      </c>
    </row>
    <row r="17" spans="1:79">
      <c r="B17" t="str">
        <f t="shared" si="0"/>
        <v xml:space="preserve"> 0x78,</v>
      </c>
      <c r="C17" t="str">
        <f t="shared" si="1"/>
        <v>120,</v>
      </c>
      <c r="D17" t="str">
        <f t="shared" si="2"/>
        <v>01111000</v>
      </c>
      <c r="E17">
        <v>0</v>
      </c>
      <c r="F17">
        <v>1</v>
      </c>
      <c r="G17">
        <v>1</v>
      </c>
      <c r="H17">
        <v>1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0xE0,</v>
      </c>
      <c r="AD17" t="str">
        <f t="shared" si="7"/>
        <v>224,</v>
      </c>
      <c r="AE17" t="str">
        <f t="shared" si="8"/>
        <v>11100000</v>
      </c>
      <c r="AF17">
        <v>1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1</v>
      </c>
      <c r="AP17">
        <v>1</v>
      </c>
      <c r="AQ17">
        <v>1</v>
      </c>
      <c r="AR17">
        <v>0</v>
      </c>
      <c r="AS17">
        <v>0</v>
      </c>
      <c r="AT17">
        <v>0</v>
      </c>
      <c r="AU17">
        <v>0</v>
      </c>
      <c r="AV17" t="str">
        <f t="shared" si="9"/>
        <v>01110000</v>
      </c>
      <c r="AW17" t="str">
        <f t="shared" si="10"/>
        <v>112,</v>
      </c>
      <c r="AX17" t="str">
        <f t="shared" si="11"/>
        <v xml:space="preserve"> 0x70,</v>
      </c>
      <c r="AY17" t="s">
        <v>0</v>
      </c>
      <c r="AZ17" t="s">
        <v>1</v>
      </c>
      <c r="BD17" t="str">
        <f t="shared" si="12"/>
        <v xml:space="preserve"> 0x03,</v>
      </c>
      <c r="BE17" t="str">
        <f t="shared" si="13"/>
        <v>3,</v>
      </c>
      <c r="BF17" t="str">
        <f t="shared" si="14"/>
        <v>00000011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1</v>
      </c>
      <c r="BN17">
        <v>1</v>
      </c>
      <c r="BO17">
        <v>1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10000000</v>
      </c>
      <c r="BX17" t="str">
        <f t="shared" si="16"/>
        <v>128,</v>
      </c>
      <c r="BY17" t="str">
        <f t="shared" si="17"/>
        <v xml:space="preserve"> 0x80,</v>
      </c>
      <c r="BZ17" t="s">
        <v>0</v>
      </c>
      <c r="CA17" t="s">
        <v>1</v>
      </c>
    </row>
    <row r="18" spans="1:79">
      <c r="B18" t="str">
        <f t="shared" si="0"/>
        <v xml:space="preserve"> 0xF0,</v>
      </c>
      <c r="C18" t="str">
        <f t="shared" si="1"/>
        <v>240,</v>
      </c>
      <c r="D18" t="str">
        <f t="shared" si="2"/>
        <v>11110000</v>
      </c>
      <c r="E18">
        <v>1</v>
      </c>
      <c r="F18">
        <v>1</v>
      </c>
      <c r="G18">
        <v>1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1</v>
      </c>
      <c r="O18">
        <v>1</v>
      </c>
      <c r="P18">
        <v>1</v>
      </c>
      <c r="Q18">
        <v>0</v>
      </c>
      <c r="R18">
        <v>0</v>
      </c>
      <c r="S18">
        <v>0</v>
      </c>
      <c r="T18">
        <v>0</v>
      </c>
      <c r="U18" t="str">
        <f t="shared" si="3"/>
        <v>01110000</v>
      </c>
      <c r="V18" t="str">
        <f t="shared" si="4"/>
        <v>112,</v>
      </c>
      <c r="W18" t="str">
        <f t="shared" si="5"/>
        <v xml:space="preserve"> 0x70,</v>
      </c>
      <c r="X18" t="s">
        <v>0</v>
      </c>
      <c r="Y18" t="s">
        <v>1</v>
      </c>
      <c r="AC18" t="str">
        <f t="shared" si="6"/>
        <v xml:space="preserve"> 0xF0,</v>
      </c>
      <c r="AD18" t="str">
        <f t="shared" si="7"/>
        <v>240,</v>
      </c>
      <c r="AE18" t="str">
        <f t="shared" si="8"/>
        <v>11110000</v>
      </c>
      <c r="AF18">
        <v>1</v>
      </c>
      <c r="AG18">
        <v>1</v>
      </c>
      <c r="AH18">
        <v>1</v>
      </c>
      <c r="AI18">
        <v>1</v>
      </c>
      <c r="AJ18">
        <v>0</v>
      </c>
      <c r="AK18">
        <v>0</v>
      </c>
      <c r="AL18">
        <v>0</v>
      </c>
      <c r="AM18">
        <v>0</v>
      </c>
      <c r="AN18">
        <v>1</v>
      </c>
      <c r="AO18">
        <v>1</v>
      </c>
      <c r="AP18">
        <v>1</v>
      </c>
      <c r="AQ18">
        <v>1</v>
      </c>
      <c r="AR18">
        <v>0</v>
      </c>
      <c r="AS18">
        <v>0</v>
      </c>
      <c r="AT18">
        <v>0</v>
      </c>
      <c r="AU18">
        <v>0</v>
      </c>
      <c r="AV18" t="str">
        <f t="shared" si="9"/>
        <v>11110000</v>
      </c>
      <c r="AW18" t="str">
        <f t="shared" si="10"/>
        <v>240,</v>
      </c>
      <c r="AX18" t="str">
        <f t="shared" si="11"/>
        <v xml:space="preserve"> 0xF0,</v>
      </c>
      <c r="AY18" t="s">
        <v>0</v>
      </c>
      <c r="AZ18" t="s">
        <v>1</v>
      </c>
      <c r="BD18" t="str">
        <f t="shared" si="12"/>
        <v xml:space="preserve"> 0x03,</v>
      </c>
      <c r="BE18" t="str">
        <f t="shared" si="13"/>
        <v>3,</v>
      </c>
      <c r="BF18" t="str">
        <f t="shared" si="14"/>
        <v>00000011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1</v>
      </c>
      <c r="BN18">
        <v>1</v>
      </c>
      <c r="BO18">
        <v>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10000000</v>
      </c>
      <c r="BX18" t="str">
        <f t="shared" si="16"/>
        <v>128,</v>
      </c>
      <c r="BY18" t="str">
        <f t="shared" si="17"/>
        <v xml:space="preserve"> 0x80,</v>
      </c>
      <c r="BZ18" t="s">
        <v>0</v>
      </c>
      <c r="CA18" t="s">
        <v>1</v>
      </c>
    </row>
    <row r="19" spans="1:79">
      <c r="B19" t="str">
        <f t="shared" si="0"/>
        <v xml:space="preserve"> 0xFF,</v>
      </c>
      <c r="C19" t="str">
        <f t="shared" si="1"/>
        <v>255,</v>
      </c>
      <c r="D19" t="str">
        <f t="shared" si="2"/>
        <v>11111111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0</v>
      </c>
      <c r="R19">
        <v>0</v>
      </c>
      <c r="S19">
        <v>0</v>
      </c>
      <c r="T19">
        <v>0</v>
      </c>
      <c r="U19" t="str">
        <f t="shared" si="3"/>
        <v>11110000</v>
      </c>
      <c r="V19" t="str">
        <f t="shared" si="4"/>
        <v>240,</v>
      </c>
      <c r="W19" t="str">
        <f t="shared" si="5"/>
        <v xml:space="preserve"> 0xF0,</v>
      </c>
      <c r="X19" t="s">
        <v>0</v>
      </c>
      <c r="Y19" t="s">
        <v>1</v>
      </c>
      <c r="AC19" t="str">
        <f t="shared" si="6"/>
        <v xml:space="preserve"> 0x7F,</v>
      </c>
      <c r="AD19" t="str">
        <f t="shared" si="7"/>
        <v>127,</v>
      </c>
      <c r="AE19" t="str">
        <f t="shared" si="8"/>
        <v>01111111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11100000</v>
      </c>
      <c r="AW19" t="str">
        <f t="shared" si="10"/>
        <v>224,</v>
      </c>
      <c r="AX19" t="str">
        <f t="shared" si="11"/>
        <v xml:space="preserve"> 0xE0,</v>
      </c>
      <c r="AY19" t="s">
        <v>0</v>
      </c>
      <c r="AZ19" t="s">
        <v>1</v>
      </c>
      <c r="BD19" t="str">
        <f t="shared" si="12"/>
        <v xml:space="preserve"> 0x03,</v>
      </c>
      <c r="BE19" t="str">
        <f t="shared" si="13"/>
        <v>3,</v>
      </c>
      <c r="BF19" t="str">
        <f t="shared" si="14"/>
        <v>00000011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1</v>
      </c>
      <c r="BN19">
        <v>1</v>
      </c>
      <c r="BO19">
        <v>1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10000000</v>
      </c>
      <c r="BX19" t="str">
        <f t="shared" si="16"/>
        <v>128,</v>
      </c>
      <c r="BY19" t="str">
        <f t="shared" si="17"/>
        <v xml:space="preserve"> 0x80,</v>
      </c>
      <c r="BZ19" t="s">
        <v>0</v>
      </c>
      <c r="CA19" t="s">
        <v>1</v>
      </c>
    </row>
    <row r="20" spans="1:79">
      <c r="B20" t="str">
        <f t="shared" si="0"/>
        <v xml:space="preserve"> 0xFF,</v>
      </c>
      <c r="C20" t="str">
        <f t="shared" si="1"/>
        <v>255,</v>
      </c>
      <c r="D20" t="str">
        <f t="shared" si="2"/>
        <v>11111111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0</v>
      </c>
      <c r="R20">
        <v>0</v>
      </c>
      <c r="S20">
        <v>0</v>
      </c>
      <c r="T20">
        <v>0</v>
      </c>
      <c r="U20" t="str">
        <f t="shared" si="3"/>
        <v>11110000</v>
      </c>
      <c r="V20" t="str">
        <f t="shared" si="4"/>
        <v>240,</v>
      </c>
      <c r="W20" t="str">
        <f t="shared" si="5"/>
        <v xml:space="preserve"> 0xF0,</v>
      </c>
      <c r="X20" t="s">
        <v>0</v>
      </c>
      <c r="Y20" t="s">
        <v>1</v>
      </c>
      <c r="AC20" t="str">
        <f t="shared" si="6"/>
        <v xml:space="preserve"> 0x3F,</v>
      </c>
      <c r="AD20" t="str">
        <f t="shared" si="7"/>
        <v>63,</v>
      </c>
      <c r="AE20" t="str">
        <f t="shared" si="8"/>
        <v>00111111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11000000</v>
      </c>
      <c r="AW20" t="str">
        <f t="shared" si="10"/>
        <v>192,</v>
      </c>
      <c r="AX20" t="str">
        <f t="shared" si="11"/>
        <v xml:space="preserve"> 0xC0,</v>
      </c>
      <c r="AY20" t="s">
        <v>0</v>
      </c>
      <c r="AZ20" t="s">
        <v>1</v>
      </c>
      <c r="BD20" t="str">
        <f t="shared" si="12"/>
        <v xml:space="preserve"> 0x03,</v>
      </c>
      <c r="BE20" t="str">
        <f t="shared" si="13"/>
        <v>3,</v>
      </c>
      <c r="BF20" t="str">
        <f t="shared" si="14"/>
        <v>00000011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1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10000000</v>
      </c>
      <c r="BX20" t="str">
        <f t="shared" si="16"/>
        <v>128,</v>
      </c>
      <c r="BY20" t="str">
        <f t="shared" si="17"/>
        <v xml:space="preserve"> 0x80,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1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12,</v>
      </c>
      <c r="V22" t="str">
        <f>Y20&amp;DEC2HEX(U22,2)&amp;X20</f>
        <v xml:space="preserve"> 0x0C,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1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12,</v>
      </c>
      <c r="AW22" t="str">
        <f>AZ20&amp;DEC2HEX(AV22,2)&amp;AY20</f>
        <v xml:space="preserve"> 0x0C,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1</v>
      </c>
      <c r="BR22">
        <f t="shared" si="20"/>
        <v>1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12,</v>
      </c>
      <c r="BX22" t="str">
        <f>CA20&amp;DEC2HEX(BW22,2)&amp;BZ20</f>
        <v xml:space="preserve"> 0x0C,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12,63,192,127,224,240,240,224,112,224,112,0,240,1,224,3,192,7,128,15,0,30,0,60,0,120,0,240,112,255,240,255,240,//2//50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12,255,240,255,240,224,112,0,224,1,192,3,128,7,0,15,240,15,240,0,112,0,112,0,112,224,112,240,240,127,224,63,192,//3//51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12,3,128,7,128,7,128,15,128,31,128,59,128,59,128,115,128,227,128,227,128,255,240,255,240,3,128,3,128,3,128,3,128,//4//52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0x0C, 0x3F, 0xC0, 0x7F, 0xE0, 0xF0, 0xF0, 0xE0, 0x70, 0xE0, 0x70, 0x00, 0xF0, 0x01, 0xE0, 0x03, 0xC0, 0x07, 0x80, 0x0F, 0x00, 0x1E, 0x00, 0x3C, 0x00, 0x78, 0x00, 0xF0, 0x70, 0xFF, 0xF0, 0xFF, 0xF0,//2//50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0x0C, 0xFF, 0xF0, 0xFF, 0xF0, 0xE0, 0x70, 0x00, 0xE0, 0x01, 0xC0, 0x03, 0x80, 0x07, 0x00, 0x0F, 0xF0, 0x0F, 0xF0, 0x00, 0x70, 0x00, 0x70, 0x00, 0x70, 0xE0, 0x70, 0xF0, 0xF0, 0x7F, 0xE0, 0x3F, 0xC0,//3//51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0x0C, 0x03, 0x80, 0x07, 0x80, 0x07, 0x80, 0x0F, 0x80, 0x1F, 0x80, 0x3B, 0x80, 0x3B, 0x80, 0x73, 0x80, 0xE3, 0x80, 0xE3, 0x80, 0xFF, 0xF0, 0xFF, 0xF0, 0x03, 0x80, 0x03, 0x80, 0x03, 0x80, 0x03, 0x80,//4//52</v>
      </c>
    </row>
    <row r="28" spans="1:79">
      <c r="A28" s="1" t="str">
        <f>$B$24</f>
        <v>12,63,192,127,224,240,240,224,112,224,112,0,240,1,224,3,192,7,128,15,0,30,0,60,0,120,0,240,112,255,240,255,240,//2//50</v>
      </c>
      <c r="E28" t="s">
        <v>4</v>
      </c>
      <c r="AB28" s="1" t="str">
        <f>$AC$24</f>
        <v>12,255,240,255,240,224,112,0,224,1,192,3,128,7,0,15,240,15,240,0,112,0,112,0,112,224,112,240,240,127,224,63,192,//3//51</v>
      </c>
      <c r="AF28" t="s">
        <v>4</v>
      </c>
      <c r="BC28" s="1" t="str">
        <f>$BD$24</f>
        <v>12,3,128,7,128,7,128,15,128,31,128,59,128,59,128,115,128,227,128,227,128,255,240,255,240,3,128,3,128,3,128,3,128,//4//52</v>
      </c>
      <c r="BG28" t="s">
        <v>4</v>
      </c>
    </row>
    <row r="29" spans="1:79">
      <c r="A29" s="2" t="str">
        <f>$B$25</f>
        <v xml:space="preserve"> 0x0C, 0x3F, 0xC0, 0x7F, 0xE0, 0xF0, 0xF0, 0xE0, 0x70, 0xE0, 0x70, 0x00, 0xF0, 0x01, 0xE0, 0x03, 0xC0, 0x07, 0x80, 0x0F, 0x00, 0x1E, 0x00, 0x3C, 0x00, 0x78, 0x00, 0xF0, 0x70, 0xFF, 0xF0, 0xFF, 0xF0,//2//50</v>
      </c>
      <c r="E29" t="s">
        <v>3</v>
      </c>
      <c r="AB29" s="2" t="str">
        <f>$AC$25</f>
        <v xml:space="preserve"> 0x0C, 0xFF, 0xF0, 0xFF, 0xF0, 0xE0, 0x70, 0x00, 0xE0, 0x01, 0xC0, 0x03, 0x80, 0x07, 0x00, 0x0F, 0xF0, 0x0F, 0xF0, 0x00, 0x70, 0x00, 0x70, 0x00, 0x70, 0xE0, 0x70, 0xF0, 0xF0, 0x7F, 0xE0, 0x3F, 0xC0,//3//51</v>
      </c>
      <c r="AF29" t="s">
        <v>3</v>
      </c>
      <c r="BC29" s="2" t="str">
        <f>$BD$25</f>
        <v xml:space="preserve"> 0x0C, 0x03, 0x80, 0x07, 0x80, 0x07, 0x80, 0x0F, 0x80, 0x1F, 0x80, 0x3B, 0x80, 0x3B, 0x80, 0x73, 0x80, 0xE3, 0x80, 0xE3, 0x80, 0xFF, 0xF0, 0xFF, 0xF0, 0x03, 0x80, 0x03, 0x80, 0x03, 0x80, 0x03, 0x80,//4//52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8:G17 H8:L12 E5:N5 L13:L17 M8:N17 G18:N19 H13:K15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7 M18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3:L17 E18:N20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76" priority="11" operator="greaterThan">
      <formula>1</formula>
    </cfRule>
  </conditionalFormatting>
  <conditionalFormatting sqref="AF6:AG20 AH6:AO7 AH18:AO19 AF5:AO5 AH8:AM17 AH20:AM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N19 AO13:AO18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75" priority="6" operator="greaterThan">
      <formula>1</formula>
    </cfRule>
  </conditionalFormatting>
  <conditionalFormatting sqref="BG6:BH20 BI6:BP7 BI8:BI17 BJ8:BN12 BG5:BP5 BN13:BN17 BO8:BP17 BJ13:BM15 BI18:BP19 BM16:BM17 BJ16:BJ17 BO20:BP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3:BN17 BG18:BP20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74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4:CB29"/>
  <sheetViews>
    <sheetView topLeftCell="A2" workbookViewId="0">
      <selection activeCell="N31" sqref="N31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53</v>
      </c>
      <c r="Z4" t="s">
        <v>5</v>
      </c>
      <c r="AB4" s="3">
        <v>54</v>
      </c>
      <c r="BA4" t="s">
        <v>5</v>
      </c>
      <c r="BC4" s="3">
        <v>55</v>
      </c>
      <c r="CB4" t="s">
        <v>5</v>
      </c>
    </row>
    <row r="5" spans="1:80">
      <c r="A5" s="3">
        <v>5</v>
      </c>
      <c r="B5" t="str">
        <f>Z5&amp;Y5&amp;BIN2HEX(D5,2)&amp;X5</f>
        <v xml:space="preserve"> 0xFF,</v>
      </c>
      <c r="C5" t="str">
        <f>Z5&amp;BIN2DEC(D5)&amp;X5</f>
        <v>255,</v>
      </c>
      <c r="D5" t="str">
        <f>E5&amp;F5&amp;G5&amp;H5&amp;I5&amp;J5&amp;K5&amp;L5</f>
        <v>11111111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11110000</v>
      </c>
      <c r="V5" t="str">
        <f>Z5&amp;BIN2DEC(U5)&amp;X5</f>
        <v>240,</v>
      </c>
      <c r="W5" t="str">
        <f>Z5&amp;Y5&amp;BIN2HEX(U5,2)&amp;X5</f>
        <v xml:space="preserve"> 0xF0,</v>
      </c>
      <c r="X5" t="s">
        <v>0</v>
      </c>
      <c r="Y5" t="s">
        <v>1</v>
      </c>
      <c r="AB5" s="3">
        <v>6</v>
      </c>
      <c r="AC5" t="str">
        <f>BA5&amp;AZ5&amp;BIN2HEX(AE5,2)&amp;AY5</f>
        <v xml:space="preserve"> 0x3F,</v>
      </c>
      <c r="AD5" t="str">
        <f>BA5&amp;BIN2DEC(AE5)&amp;AY5</f>
        <v>63,</v>
      </c>
      <c r="AE5" t="str">
        <f>AF5&amp;AG5&amp;AH5&amp;AI5&amp;AJ5&amp;AK5&amp;AL5&amp;AM5</f>
        <v>00111111</v>
      </c>
      <c r="AF5">
        <v>0</v>
      </c>
      <c r="AG5">
        <v>0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11000000</v>
      </c>
      <c r="AW5" t="str">
        <f>BA5&amp;BIN2DEC(AV5)&amp;AY5</f>
        <v>192,</v>
      </c>
      <c r="AX5" t="str">
        <f>BA5&amp;AZ5&amp;BIN2HEX(AV5,2)&amp;AY5</f>
        <v xml:space="preserve"> 0xC0,</v>
      </c>
      <c r="AY5" t="s">
        <v>0</v>
      </c>
      <c r="AZ5" t="s">
        <v>1</v>
      </c>
      <c r="BC5" s="3">
        <v>7</v>
      </c>
      <c r="BD5" t="str">
        <f>CB5&amp;CA5&amp;BIN2HEX(BF5,2)&amp;BZ5</f>
        <v xml:space="preserve"> 0xFF,</v>
      </c>
      <c r="BE5" t="str">
        <f>CB5&amp;BIN2DEC(BF5)&amp;BZ5</f>
        <v>255,</v>
      </c>
      <c r="BF5" t="str">
        <f>BG5&amp;BH5&amp;BI5&amp;BJ5&amp;BK5&amp;BL5&amp;BM5&amp;BN5</f>
        <v>11111111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11110000</v>
      </c>
      <c r="BX5" t="str">
        <f>CB5&amp;BIN2DEC(BW5)&amp;BZ5</f>
        <v>240,</v>
      </c>
      <c r="BY5" t="str">
        <f>CB5&amp;CA5&amp;BIN2HEX(BW5,2)&amp;BZ5</f>
        <v xml:space="preserve"> 0xF0,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0xFF,</v>
      </c>
      <c r="C6" t="str">
        <f t="shared" ref="C6:C20" si="1">Z6&amp;BIN2DEC(D6)&amp;X6</f>
        <v>255,</v>
      </c>
      <c r="D6" t="str">
        <f t="shared" ref="D6:D20" si="2">E6&amp;F6&amp;G6&amp;H6&amp;I6&amp;J6&amp;K6&amp;L6</f>
        <v>11111111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11110000</v>
      </c>
      <c r="V6" t="str">
        <f t="shared" ref="V6:V20" si="4">Z6&amp;BIN2DEC(U6)&amp;X6</f>
        <v>240,</v>
      </c>
      <c r="W6" t="str">
        <f t="shared" ref="W6:W20" si="5">Z6&amp;Y6&amp;BIN2HEX(U6,2)&amp;X6</f>
        <v xml:space="preserve"> 0xF0,</v>
      </c>
      <c r="X6" t="s">
        <v>0</v>
      </c>
      <c r="Y6" t="s">
        <v>1</v>
      </c>
      <c r="AC6" t="str">
        <f t="shared" ref="AC6:AC20" si="6">BA6&amp;AZ6&amp;BIN2HEX(AE6,2)&amp;AY6</f>
        <v xml:space="preserve"> 0x7F,</v>
      </c>
      <c r="AD6" t="str">
        <f t="shared" ref="AD6:AD20" si="7">BA6&amp;BIN2DEC(AE6)&amp;AY6</f>
        <v>127,</v>
      </c>
      <c r="AE6" t="str">
        <f t="shared" ref="AE6:AE20" si="8">AF6&amp;AG6&amp;AH6&amp;AI6&amp;AJ6&amp;AK6&amp;AL6&amp;AM6</f>
        <v>01111111</v>
      </c>
      <c r="AF6">
        <v>0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11100000</v>
      </c>
      <c r="AW6" t="str">
        <f t="shared" ref="AW6:AW20" si="10">BA6&amp;BIN2DEC(AV6)&amp;AY6</f>
        <v>224,</v>
      </c>
      <c r="AX6" t="str">
        <f t="shared" ref="AX6:AX20" si="11">BA6&amp;AZ6&amp;BIN2HEX(AV6,2)&amp;AY6</f>
        <v xml:space="preserve"> 0xE0,</v>
      </c>
      <c r="AY6" t="s">
        <v>0</v>
      </c>
      <c r="AZ6" t="s">
        <v>1</v>
      </c>
      <c r="BD6" t="str">
        <f t="shared" ref="BD6:BD20" si="12">CB6&amp;CA6&amp;BIN2HEX(BF6,2)&amp;BZ6</f>
        <v xml:space="preserve"> 0xFF,</v>
      </c>
      <c r="BE6" t="str">
        <f t="shared" ref="BE6:BE20" si="13">CB6&amp;BIN2DEC(BF6)&amp;BZ6</f>
        <v>255,</v>
      </c>
      <c r="BF6" t="str">
        <f t="shared" ref="BF6:BF20" si="14">BG6&amp;BH6&amp;BI6&amp;BJ6&amp;BK6&amp;BL6&amp;BM6&amp;BN6</f>
        <v>11111111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1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11110000</v>
      </c>
      <c r="BX6" t="str">
        <f t="shared" ref="BX6:BX20" si="16">CB6&amp;BIN2DEC(BW6)&amp;BZ6</f>
        <v>240,</v>
      </c>
      <c r="BY6" t="str">
        <f t="shared" ref="BY6:BY20" si="17">CB6&amp;CA6&amp;BIN2HEX(BW6,2)&amp;BZ6</f>
        <v xml:space="preserve"> 0xF0,</v>
      </c>
      <c r="BZ6" t="s">
        <v>0</v>
      </c>
      <c r="CA6" t="s">
        <v>1</v>
      </c>
    </row>
    <row r="7" spans="1:80">
      <c r="B7" t="str">
        <f t="shared" si="0"/>
        <v xml:space="preserve"> 0xE0,</v>
      </c>
      <c r="C7" t="str">
        <f t="shared" si="1"/>
        <v>224,</v>
      </c>
      <c r="D7" t="str">
        <f t="shared" si="2"/>
        <v>11100000</v>
      </c>
      <c r="E7">
        <v>1</v>
      </c>
      <c r="F7">
        <v>1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</v>
      </c>
      <c r="O7">
        <v>1</v>
      </c>
      <c r="P7">
        <v>1</v>
      </c>
      <c r="Q7">
        <v>0</v>
      </c>
      <c r="R7">
        <v>0</v>
      </c>
      <c r="S7">
        <v>0</v>
      </c>
      <c r="T7">
        <v>0</v>
      </c>
      <c r="U7" t="str">
        <f t="shared" si="3"/>
        <v>01110000</v>
      </c>
      <c r="V7" t="str">
        <f t="shared" si="4"/>
        <v>112,</v>
      </c>
      <c r="W7" t="str">
        <f t="shared" si="5"/>
        <v xml:space="preserve"> 0x70,</v>
      </c>
      <c r="X7" t="s">
        <v>0</v>
      </c>
      <c r="Y7" t="s">
        <v>1</v>
      </c>
      <c r="AC7" t="str">
        <f t="shared" si="6"/>
        <v xml:space="preserve"> 0xF0,</v>
      </c>
      <c r="AD7" t="str">
        <f t="shared" si="7"/>
        <v>240,</v>
      </c>
      <c r="AE7" t="str">
        <f t="shared" si="8"/>
        <v>11110000</v>
      </c>
      <c r="AF7">
        <v>1</v>
      </c>
      <c r="AG7">
        <v>1</v>
      </c>
      <c r="AH7">
        <v>1</v>
      </c>
      <c r="AI7">
        <v>1</v>
      </c>
      <c r="AJ7">
        <v>0</v>
      </c>
      <c r="AK7">
        <v>0</v>
      </c>
      <c r="AL7">
        <v>0</v>
      </c>
      <c r="AM7">
        <v>0</v>
      </c>
      <c r="AN7">
        <v>1</v>
      </c>
      <c r="AO7">
        <v>1</v>
      </c>
      <c r="AP7">
        <v>1</v>
      </c>
      <c r="AQ7">
        <v>1</v>
      </c>
      <c r="AR7">
        <v>0</v>
      </c>
      <c r="AS7">
        <v>0</v>
      </c>
      <c r="AT7">
        <v>0</v>
      </c>
      <c r="AU7">
        <v>0</v>
      </c>
      <c r="AV7" t="str">
        <f t="shared" si="9"/>
        <v>11110000</v>
      </c>
      <c r="AW7" t="str">
        <f t="shared" si="10"/>
        <v>240,</v>
      </c>
      <c r="AX7" t="str">
        <f t="shared" si="11"/>
        <v xml:space="preserve"> 0xF0,</v>
      </c>
      <c r="AY7" t="s">
        <v>0</v>
      </c>
      <c r="AZ7" t="s">
        <v>1</v>
      </c>
      <c r="BD7" t="str">
        <f t="shared" si="12"/>
        <v xml:space="preserve"> 0xE0,</v>
      </c>
      <c r="BE7" t="str">
        <f t="shared" si="13"/>
        <v>224,</v>
      </c>
      <c r="BF7" t="str">
        <f t="shared" si="14"/>
        <v>11100000</v>
      </c>
      <c r="BG7">
        <v>1</v>
      </c>
      <c r="BH7">
        <v>1</v>
      </c>
      <c r="BI7">
        <v>1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1</v>
      </c>
      <c r="BQ7">
        <v>1</v>
      </c>
      <c r="BR7">
        <v>1</v>
      </c>
      <c r="BS7">
        <v>0</v>
      </c>
      <c r="BT7">
        <v>0</v>
      </c>
      <c r="BU7">
        <v>0</v>
      </c>
      <c r="BV7">
        <v>0</v>
      </c>
      <c r="BW7" t="str">
        <f t="shared" si="15"/>
        <v>01110000</v>
      </c>
      <c r="BX7" t="str">
        <f t="shared" si="16"/>
        <v>112,</v>
      </c>
      <c r="BY7" t="str">
        <f t="shared" si="17"/>
        <v xml:space="preserve"> 0x70,</v>
      </c>
      <c r="BZ7" t="s">
        <v>0</v>
      </c>
      <c r="CA7" t="s">
        <v>1</v>
      </c>
    </row>
    <row r="8" spans="1:80">
      <c r="B8" t="str">
        <f t="shared" si="0"/>
        <v xml:space="preserve"> 0xE0,</v>
      </c>
      <c r="C8" t="str">
        <f t="shared" si="1"/>
        <v>224,</v>
      </c>
      <c r="D8" t="str">
        <f t="shared" si="2"/>
        <v>11100000</v>
      </c>
      <c r="E8">
        <v>1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0xE0,</v>
      </c>
      <c r="AD8" t="str">
        <f t="shared" si="7"/>
        <v>224,</v>
      </c>
      <c r="AE8" t="str">
        <f t="shared" si="8"/>
        <v>11100000</v>
      </c>
      <c r="AF8">
        <v>1</v>
      </c>
      <c r="AG8">
        <v>1</v>
      </c>
      <c r="AH8">
        <v>1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1</v>
      </c>
      <c r="AP8">
        <v>1</v>
      </c>
      <c r="AQ8">
        <v>1</v>
      </c>
      <c r="AR8">
        <v>0</v>
      </c>
      <c r="AS8">
        <v>0</v>
      </c>
      <c r="AT8">
        <v>0</v>
      </c>
      <c r="AU8">
        <v>0</v>
      </c>
      <c r="AV8" t="str">
        <f t="shared" si="9"/>
        <v>01110000</v>
      </c>
      <c r="AW8" t="str">
        <f t="shared" si="10"/>
        <v>112,</v>
      </c>
      <c r="AX8" t="str">
        <f t="shared" si="11"/>
        <v xml:space="preserve"> 0x70,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1</v>
      </c>
      <c r="BQ8">
        <v>1</v>
      </c>
      <c r="BR8">
        <v>1</v>
      </c>
      <c r="BS8">
        <v>0</v>
      </c>
      <c r="BT8">
        <v>0</v>
      </c>
      <c r="BU8">
        <v>0</v>
      </c>
      <c r="BV8">
        <v>0</v>
      </c>
      <c r="BW8" t="str">
        <f t="shared" si="15"/>
        <v>01110000</v>
      </c>
      <c r="BX8" t="str">
        <f t="shared" si="16"/>
        <v>112,</v>
      </c>
      <c r="BY8" t="str">
        <f t="shared" si="17"/>
        <v xml:space="preserve"> 0x70,</v>
      </c>
      <c r="BZ8" t="s">
        <v>0</v>
      </c>
      <c r="CA8" t="s">
        <v>1</v>
      </c>
    </row>
    <row r="9" spans="1:80">
      <c r="B9" t="str">
        <f t="shared" si="0"/>
        <v xml:space="preserve"> 0xE0,</v>
      </c>
      <c r="C9" t="str">
        <f t="shared" si="1"/>
        <v>224,</v>
      </c>
      <c r="D9" t="str">
        <f t="shared" si="2"/>
        <v>11100000</v>
      </c>
      <c r="E9">
        <v>1</v>
      </c>
      <c r="F9">
        <v>1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0xE0,</v>
      </c>
      <c r="AD9" t="str">
        <f t="shared" si="7"/>
        <v>224,</v>
      </c>
      <c r="AE9" t="str">
        <f t="shared" si="8"/>
        <v>11100000</v>
      </c>
      <c r="AF9">
        <v>1</v>
      </c>
      <c r="AG9">
        <v>1</v>
      </c>
      <c r="AH9">
        <v>1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0x00,</v>
      </c>
      <c r="BE9" t="str">
        <f t="shared" si="13"/>
        <v>0,</v>
      </c>
      <c r="BF9" t="str">
        <f t="shared" si="14"/>
        <v>00000000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</v>
      </c>
      <c r="BP9">
        <v>1</v>
      </c>
      <c r="BQ9">
        <v>1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11100000</v>
      </c>
      <c r="BX9" t="str">
        <f t="shared" si="16"/>
        <v>224,</v>
      </c>
      <c r="BY9" t="str">
        <f t="shared" si="17"/>
        <v xml:space="preserve"> 0xE0,</v>
      </c>
      <c r="BZ9" t="s">
        <v>0</v>
      </c>
      <c r="CA9" t="s">
        <v>1</v>
      </c>
    </row>
    <row r="10" spans="1:80">
      <c r="B10" t="str">
        <f t="shared" si="0"/>
        <v xml:space="preserve"> 0xE0,</v>
      </c>
      <c r="C10" t="str">
        <f t="shared" si="1"/>
        <v>224,</v>
      </c>
      <c r="D10" t="str">
        <f t="shared" si="2"/>
        <v>11100000</v>
      </c>
      <c r="E10">
        <v>1</v>
      </c>
      <c r="F10">
        <v>1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0xE0,</v>
      </c>
      <c r="AD10" t="str">
        <f t="shared" si="7"/>
        <v>224,</v>
      </c>
      <c r="AE10" t="str">
        <f t="shared" si="8"/>
        <v>11100000</v>
      </c>
      <c r="AF10">
        <v>1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0x01,</v>
      </c>
      <c r="BE10" t="str">
        <f t="shared" si="13"/>
        <v>1,</v>
      </c>
      <c r="BF10" t="str">
        <f t="shared" si="14"/>
        <v>00000001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1</v>
      </c>
      <c r="BO10">
        <v>1</v>
      </c>
      <c r="BP10">
        <v>1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11000000</v>
      </c>
      <c r="BX10" t="str">
        <f t="shared" si="16"/>
        <v>192,</v>
      </c>
      <c r="BY10" t="str">
        <f t="shared" si="17"/>
        <v xml:space="preserve"> 0xC0,</v>
      </c>
      <c r="BZ10" t="s">
        <v>0</v>
      </c>
      <c r="CA10" t="s">
        <v>1</v>
      </c>
    </row>
    <row r="11" spans="1:80">
      <c r="B11" t="str">
        <f t="shared" si="0"/>
        <v xml:space="preserve"> 0xE0,</v>
      </c>
      <c r="C11" t="str">
        <f t="shared" si="1"/>
        <v>224,</v>
      </c>
      <c r="D11" t="str">
        <f t="shared" si="2"/>
        <v>11100000</v>
      </c>
      <c r="E11">
        <v>1</v>
      </c>
      <c r="F11">
        <v>1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0xE0,</v>
      </c>
      <c r="AD11" t="str">
        <f t="shared" si="7"/>
        <v>224,</v>
      </c>
      <c r="AE11" t="str">
        <f t="shared" si="8"/>
        <v>11100000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0x03,</v>
      </c>
      <c r="BE11" t="str">
        <f t="shared" si="13"/>
        <v>3,</v>
      </c>
      <c r="BF11" t="str">
        <f t="shared" si="14"/>
        <v>00000011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1</v>
      </c>
      <c r="BN11">
        <v>1</v>
      </c>
      <c r="BO11">
        <v>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10000000</v>
      </c>
      <c r="BX11" t="str">
        <f t="shared" si="16"/>
        <v>128,</v>
      </c>
      <c r="BY11" t="str">
        <f t="shared" si="17"/>
        <v xml:space="preserve"> 0x80,</v>
      </c>
      <c r="BZ11" t="s">
        <v>0</v>
      </c>
      <c r="CA11" t="s">
        <v>1</v>
      </c>
    </row>
    <row r="12" spans="1:80">
      <c r="B12" t="str">
        <f t="shared" si="0"/>
        <v xml:space="preserve"> 0xFF,</v>
      </c>
      <c r="C12" t="str">
        <f t="shared" si="1"/>
        <v>255,</v>
      </c>
      <c r="D12" t="str">
        <f t="shared" si="2"/>
        <v>11111111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0xFF,</v>
      </c>
      <c r="AD12" t="str">
        <f t="shared" si="7"/>
        <v>255,</v>
      </c>
      <c r="AE12" t="str">
        <f t="shared" si="8"/>
        <v>11111111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11000000</v>
      </c>
      <c r="AW12" t="str">
        <f t="shared" si="10"/>
        <v>192,</v>
      </c>
      <c r="AX12" t="str">
        <f t="shared" si="11"/>
        <v xml:space="preserve"> 0xC0,</v>
      </c>
      <c r="AY12" t="s">
        <v>0</v>
      </c>
      <c r="AZ12" t="s">
        <v>1</v>
      </c>
      <c r="BD12" t="str">
        <f t="shared" si="12"/>
        <v xml:space="preserve"> 0x07,</v>
      </c>
      <c r="BE12" t="str">
        <f t="shared" si="13"/>
        <v>7,</v>
      </c>
      <c r="BF12" t="str">
        <f t="shared" si="14"/>
        <v>00000111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1</v>
      </c>
      <c r="BM12">
        <v>1</v>
      </c>
      <c r="BN12">
        <v>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0xFF,</v>
      </c>
      <c r="C13" t="str">
        <f t="shared" si="1"/>
        <v>255,</v>
      </c>
      <c r="D13" t="str">
        <f t="shared" si="2"/>
        <v>11111111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11100000</v>
      </c>
      <c r="V13" t="str">
        <f t="shared" si="4"/>
        <v>224,</v>
      </c>
      <c r="W13" t="str">
        <f t="shared" si="5"/>
        <v xml:space="preserve"> 0xE0,</v>
      </c>
      <c r="X13" t="s">
        <v>0</v>
      </c>
      <c r="Y13" t="s">
        <v>1</v>
      </c>
      <c r="AC13" t="str">
        <f t="shared" si="6"/>
        <v xml:space="preserve"> 0xFF,</v>
      </c>
      <c r="AD13" t="str">
        <f t="shared" si="7"/>
        <v>255,</v>
      </c>
      <c r="AE13" t="str">
        <f t="shared" si="8"/>
        <v>11111111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11100000</v>
      </c>
      <c r="AW13" t="str">
        <f t="shared" si="10"/>
        <v>224,</v>
      </c>
      <c r="AX13" t="str">
        <f t="shared" si="11"/>
        <v xml:space="preserve"> 0xE0,</v>
      </c>
      <c r="AY13" t="s">
        <v>0</v>
      </c>
      <c r="AZ13" t="s">
        <v>1</v>
      </c>
      <c r="BD13" t="str">
        <f t="shared" si="12"/>
        <v xml:space="preserve"> 0x0E,</v>
      </c>
      <c r="BE13" t="str">
        <f t="shared" si="13"/>
        <v>14,</v>
      </c>
      <c r="BF13" t="str">
        <f t="shared" si="14"/>
        <v>00001110</v>
      </c>
      <c r="BG13">
        <v>0</v>
      </c>
      <c r="BH13">
        <v>0</v>
      </c>
      <c r="BI13">
        <v>0</v>
      </c>
      <c r="BJ13">
        <v>0</v>
      </c>
      <c r="BK13">
        <v>1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0x00,</v>
      </c>
      <c r="C14" t="str">
        <f t="shared" si="1"/>
        <v>0,</v>
      </c>
      <c r="D14" t="str">
        <f t="shared" si="2"/>
        <v>00000000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1</v>
      </c>
      <c r="O14">
        <v>1</v>
      </c>
      <c r="P14">
        <v>1</v>
      </c>
      <c r="Q14">
        <v>0</v>
      </c>
      <c r="R14">
        <v>0</v>
      </c>
      <c r="S14">
        <v>0</v>
      </c>
      <c r="T14">
        <v>0</v>
      </c>
      <c r="U14" t="str">
        <f t="shared" si="3"/>
        <v>11110000</v>
      </c>
      <c r="V14" t="str">
        <f t="shared" si="4"/>
        <v>240,</v>
      </c>
      <c r="W14" t="str">
        <f t="shared" si="5"/>
        <v xml:space="preserve"> 0xF0,</v>
      </c>
      <c r="X14" t="s">
        <v>0</v>
      </c>
      <c r="Y14" t="s">
        <v>1</v>
      </c>
      <c r="AC14" t="str">
        <f t="shared" si="6"/>
        <v xml:space="preserve"> 0xF0,</v>
      </c>
      <c r="AD14" t="str">
        <f t="shared" si="7"/>
        <v>240,</v>
      </c>
      <c r="AE14" t="str">
        <f t="shared" si="8"/>
        <v>11110000</v>
      </c>
      <c r="AF14">
        <v>1</v>
      </c>
      <c r="AG14">
        <v>1</v>
      </c>
      <c r="AH14">
        <v>1</v>
      </c>
      <c r="AI14">
        <v>1</v>
      </c>
      <c r="AJ14">
        <v>0</v>
      </c>
      <c r="AK14">
        <v>0</v>
      </c>
      <c r="AL14">
        <v>0</v>
      </c>
      <c r="AM14">
        <v>0</v>
      </c>
      <c r="AN14">
        <v>1</v>
      </c>
      <c r="AO14">
        <v>1</v>
      </c>
      <c r="AP14">
        <v>1</v>
      </c>
      <c r="AQ14">
        <v>1</v>
      </c>
      <c r="AR14">
        <v>0</v>
      </c>
      <c r="AS14">
        <v>0</v>
      </c>
      <c r="AT14">
        <v>0</v>
      </c>
      <c r="AU14">
        <v>0</v>
      </c>
      <c r="AV14" t="str">
        <f t="shared" si="9"/>
        <v>11110000</v>
      </c>
      <c r="AW14" t="str">
        <f t="shared" si="10"/>
        <v>240,</v>
      </c>
      <c r="AX14" t="str">
        <f t="shared" si="11"/>
        <v xml:space="preserve"> 0xF0,</v>
      </c>
      <c r="AY14" t="s">
        <v>0</v>
      </c>
      <c r="AZ14" t="s">
        <v>1</v>
      </c>
      <c r="BD14" t="str">
        <f t="shared" si="12"/>
        <v xml:space="preserve"> 0x0E,</v>
      </c>
      <c r="BE14" t="str">
        <f t="shared" si="13"/>
        <v>14,</v>
      </c>
      <c r="BF14" t="str">
        <f t="shared" si="14"/>
        <v>00001110</v>
      </c>
      <c r="BG14">
        <v>0</v>
      </c>
      <c r="BH14">
        <v>0</v>
      </c>
      <c r="BI14">
        <v>0</v>
      </c>
      <c r="BJ14">
        <v>0</v>
      </c>
      <c r="BK14">
        <v>1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0x00,</v>
      </c>
      <c r="C15" t="str">
        <f t="shared" si="1"/>
        <v>0,</v>
      </c>
      <c r="D15" t="str">
        <f t="shared" si="2"/>
        <v>00000000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1</v>
      </c>
      <c r="P15">
        <v>1</v>
      </c>
      <c r="Q15">
        <v>0</v>
      </c>
      <c r="R15">
        <v>0</v>
      </c>
      <c r="S15">
        <v>0</v>
      </c>
      <c r="T15">
        <v>0</v>
      </c>
      <c r="U15" t="str">
        <f t="shared" si="3"/>
        <v>01110000</v>
      </c>
      <c r="V15" t="str">
        <f t="shared" si="4"/>
        <v>112,</v>
      </c>
      <c r="W15" t="str">
        <f t="shared" si="5"/>
        <v xml:space="preserve"> 0x70,</v>
      </c>
      <c r="X15" t="s">
        <v>0</v>
      </c>
      <c r="Y15" t="s">
        <v>1</v>
      </c>
      <c r="AC15" t="str">
        <f t="shared" si="6"/>
        <v xml:space="preserve"> 0xE0,</v>
      </c>
      <c r="AD15" t="str">
        <f t="shared" si="7"/>
        <v>224,</v>
      </c>
      <c r="AE15" t="str">
        <f t="shared" si="8"/>
        <v>11100000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</v>
      </c>
      <c r="AR15">
        <v>0</v>
      </c>
      <c r="AS15">
        <v>0</v>
      </c>
      <c r="AT15">
        <v>0</v>
      </c>
      <c r="AU15">
        <v>0</v>
      </c>
      <c r="AV15" t="str">
        <f t="shared" si="9"/>
        <v>01110000</v>
      </c>
      <c r="AW15" t="str">
        <f t="shared" si="10"/>
        <v>112,</v>
      </c>
      <c r="AX15" t="str">
        <f t="shared" si="11"/>
        <v xml:space="preserve"> 0x70,</v>
      </c>
      <c r="AY15" t="s">
        <v>0</v>
      </c>
      <c r="AZ15" t="s">
        <v>1</v>
      </c>
      <c r="BD15" t="str">
        <f t="shared" si="12"/>
        <v xml:space="preserve"> 0x1C,</v>
      </c>
      <c r="BE15" t="str">
        <f t="shared" si="13"/>
        <v>28,</v>
      </c>
      <c r="BF15" t="str">
        <f t="shared" si="14"/>
        <v>00011100</v>
      </c>
      <c r="BG15">
        <v>0</v>
      </c>
      <c r="BH15">
        <v>0</v>
      </c>
      <c r="BI15">
        <v>0</v>
      </c>
      <c r="BJ15">
        <v>1</v>
      </c>
      <c r="BK15">
        <v>1</v>
      </c>
      <c r="BL15">
        <v>1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0x00,</v>
      </c>
      <c r="C16" t="str">
        <f t="shared" si="1"/>
        <v>0,</v>
      </c>
      <c r="D16" t="str">
        <f t="shared" si="2"/>
        <v>00000000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1</v>
      </c>
      <c r="P16">
        <v>1</v>
      </c>
      <c r="Q16">
        <v>0</v>
      </c>
      <c r="R16">
        <v>0</v>
      </c>
      <c r="S16">
        <v>0</v>
      </c>
      <c r="T16">
        <v>0</v>
      </c>
      <c r="U16" t="str">
        <f t="shared" si="3"/>
        <v>01110000</v>
      </c>
      <c r="V16" t="str">
        <f t="shared" si="4"/>
        <v>112,</v>
      </c>
      <c r="W16" t="str">
        <f t="shared" si="5"/>
        <v xml:space="preserve"> 0x70,</v>
      </c>
      <c r="X16" t="s">
        <v>0</v>
      </c>
      <c r="Y16" t="s">
        <v>1</v>
      </c>
      <c r="AC16" t="str">
        <f t="shared" si="6"/>
        <v xml:space="preserve"> 0xE0,</v>
      </c>
      <c r="AD16" t="str">
        <f t="shared" si="7"/>
        <v>224,</v>
      </c>
      <c r="AE16" t="str">
        <f t="shared" si="8"/>
        <v>11100000</v>
      </c>
      <c r="AF16">
        <v>1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1</v>
      </c>
      <c r="AP16">
        <v>1</v>
      </c>
      <c r="AQ16">
        <v>1</v>
      </c>
      <c r="AR16">
        <v>0</v>
      </c>
      <c r="AS16">
        <v>0</v>
      </c>
      <c r="AT16">
        <v>0</v>
      </c>
      <c r="AU16">
        <v>0</v>
      </c>
      <c r="AV16" t="str">
        <f t="shared" si="9"/>
        <v>01110000</v>
      </c>
      <c r="AW16" t="str">
        <f t="shared" si="10"/>
        <v>112,</v>
      </c>
      <c r="AX16" t="str">
        <f t="shared" si="11"/>
        <v xml:space="preserve"> 0x70,</v>
      </c>
      <c r="AY16" t="s">
        <v>0</v>
      </c>
      <c r="AZ16" t="s">
        <v>1</v>
      </c>
      <c r="BD16" t="str">
        <f t="shared" si="12"/>
        <v xml:space="preserve"> 0x1C,</v>
      </c>
      <c r="BE16" t="str">
        <f t="shared" si="13"/>
        <v>28,</v>
      </c>
      <c r="BF16" t="str">
        <f t="shared" si="14"/>
        <v>00011100</v>
      </c>
      <c r="BG16">
        <v>0</v>
      </c>
      <c r="BH16">
        <v>0</v>
      </c>
      <c r="BI16">
        <v>0</v>
      </c>
      <c r="BJ16">
        <v>1</v>
      </c>
      <c r="BK16">
        <v>1</v>
      </c>
      <c r="BL16">
        <v>1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0xE0,</v>
      </c>
      <c r="C17" t="str">
        <f t="shared" si="1"/>
        <v>224,</v>
      </c>
      <c r="D17" t="str">
        <f t="shared" si="2"/>
        <v>11100000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</v>
      </c>
      <c r="O17">
        <v>1</v>
      </c>
      <c r="P17">
        <v>1</v>
      </c>
      <c r="Q17">
        <v>0</v>
      </c>
      <c r="R17">
        <v>0</v>
      </c>
      <c r="S17">
        <v>0</v>
      </c>
      <c r="T17">
        <v>0</v>
      </c>
      <c r="U17" t="str">
        <f t="shared" si="3"/>
        <v>01110000</v>
      </c>
      <c r="V17" t="str">
        <f t="shared" si="4"/>
        <v>112,</v>
      </c>
      <c r="W17" t="str">
        <f t="shared" si="5"/>
        <v xml:space="preserve"> 0x70,</v>
      </c>
      <c r="X17" t="s">
        <v>0</v>
      </c>
      <c r="Y17" t="s">
        <v>1</v>
      </c>
      <c r="AC17" t="str">
        <f t="shared" si="6"/>
        <v xml:space="preserve"> 0xE0,</v>
      </c>
      <c r="AD17" t="str">
        <f t="shared" si="7"/>
        <v>224,</v>
      </c>
      <c r="AE17" t="str">
        <f t="shared" si="8"/>
        <v>11100000</v>
      </c>
      <c r="AF17">
        <v>1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1</v>
      </c>
      <c r="AP17">
        <v>1</v>
      </c>
      <c r="AQ17">
        <v>1</v>
      </c>
      <c r="AR17">
        <v>0</v>
      </c>
      <c r="AS17">
        <v>0</v>
      </c>
      <c r="AT17">
        <v>0</v>
      </c>
      <c r="AU17">
        <v>0</v>
      </c>
      <c r="AV17" t="str">
        <f t="shared" si="9"/>
        <v>01110000</v>
      </c>
      <c r="AW17" t="str">
        <f t="shared" si="10"/>
        <v>112,</v>
      </c>
      <c r="AX17" t="str">
        <f t="shared" si="11"/>
        <v xml:space="preserve"> 0x70,</v>
      </c>
      <c r="AY17" t="s">
        <v>0</v>
      </c>
      <c r="AZ17" t="s">
        <v>1</v>
      </c>
      <c r="BD17" t="str">
        <f t="shared" si="12"/>
        <v xml:space="preserve"> 0x1C,</v>
      </c>
      <c r="BE17" t="str">
        <f t="shared" si="13"/>
        <v>28,</v>
      </c>
      <c r="BF17" t="str">
        <f t="shared" si="14"/>
        <v>00011100</v>
      </c>
      <c r="BG17">
        <v>0</v>
      </c>
      <c r="BH17">
        <v>0</v>
      </c>
      <c r="BI17">
        <v>0</v>
      </c>
      <c r="BJ17">
        <v>1</v>
      </c>
      <c r="BK17">
        <v>1</v>
      </c>
      <c r="BL17">
        <v>1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0xF0,</v>
      </c>
      <c r="C18" t="str">
        <f t="shared" si="1"/>
        <v>240,</v>
      </c>
      <c r="D18" t="str">
        <f t="shared" si="2"/>
        <v>11110000</v>
      </c>
      <c r="E18">
        <v>1</v>
      </c>
      <c r="F18">
        <v>1</v>
      </c>
      <c r="G18">
        <v>1</v>
      </c>
      <c r="H18">
        <v>1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0</v>
      </c>
      <c r="T18">
        <v>0</v>
      </c>
      <c r="U18" t="str">
        <f t="shared" si="3"/>
        <v>11110000</v>
      </c>
      <c r="V18" t="str">
        <f t="shared" si="4"/>
        <v>240,</v>
      </c>
      <c r="W18" t="str">
        <f t="shared" si="5"/>
        <v xml:space="preserve"> 0xF0,</v>
      </c>
      <c r="X18" t="s">
        <v>0</v>
      </c>
      <c r="Y18" t="s">
        <v>1</v>
      </c>
      <c r="AC18" t="str">
        <f t="shared" si="6"/>
        <v xml:space="preserve"> 0xF0,</v>
      </c>
      <c r="AD18" t="str">
        <f t="shared" si="7"/>
        <v>240,</v>
      </c>
      <c r="AE18" t="str">
        <f t="shared" si="8"/>
        <v>11110000</v>
      </c>
      <c r="AF18">
        <v>1</v>
      </c>
      <c r="AG18">
        <v>1</v>
      </c>
      <c r="AH18">
        <v>1</v>
      </c>
      <c r="AI18">
        <v>1</v>
      </c>
      <c r="AJ18">
        <v>0</v>
      </c>
      <c r="AK18">
        <v>0</v>
      </c>
      <c r="AL18">
        <v>0</v>
      </c>
      <c r="AM18">
        <v>0</v>
      </c>
      <c r="AN18">
        <v>1</v>
      </c>
      <c r="AO18">
        <v>1</v>
      </c>
      <c r="AP18">
        <v>1</v>
      </c>
      <c r="AQ18">
        <v>1</v>
      </c>
      <c r="AR18">
        <v>0</v>
      </c>
      <c r="AS18">
        <v>0</v>
      </c>
      <c r="AT18">
        <v>0</v>
      </c>
      <c r="AU18">
        <v>0</v>
      </c>
      <c r="AV18" t="str">
        <f t="shared" si="9"/>
        <v>11110000</v>
      </c>
      <c r="AW18" t="str">
        <f t="shared" si="10"/>
        <v>240,</v>
      </c>
      <c r="AX18" t="str">
        <f t="shared" si="11"/>
        <v xml:space="preserve"> 0xF0,</v>
      </c>
      <c r="AY18" t="s">
        <v>0</v>
      </c>
      <c r="AZ18" t="s">
        <v>1</v>
      </c>
      <c r="BD18" t="str">
        <f t="shared" si="12"/>
        <v xml:space="preserve"> 0x1C,</v>
      </c>
      <c r="BE18" t="str">
        <f t="shared" si="13"/>
        <v>28,</v>
      </c>
      <c r="BF18" t="str">
        <f t="shared" si="14"/>
        <v>00011100</v>
      </c>
      <c r="BG18">
        <v>0</v>
      </c>
      <c r="BH18">
        <v>0</v>
      </c>
      <c r="BI18">
        <v>0</v>
      </c>
      <c r="BJ18">
        <v>1</v>
      </c>
      <c r="BK18">
        <v>1</v>
      </c>
      <c r="BL18">
        <v>1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0x7F,</v>
      </c>
      <c r="C19" t="str">
        <f t="shared" si="1"/>
        <v>127,</v>
      </c>
      <c r="D19" t="str">
        <f t="shared" si="2"/>
        <v>01111111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11100000</v>
      </c>
      <c r="V19" t="str">
        <f t="shared" si="4"/>
        <v>224,</v>
      </c>
      <c r="W19" t="str">
        <f t="shared" si="5"/>
        <v xml:space="preserve"> 0xE0,</v>
      </c>
      <c r="X19" t="s">
        <v>0</v>
      </c>
      <c r="Y19" t="s">
        <v>1</v>
      </c>
      <c r="AC19" t="str">
        <f t="shared" si="6"/>
        <v xml:space="preserve"> 0x7F,</v>
      </c>
      <c r="AD19" t="str">
        <f t="shared" si="7"/>
        <v>127,</v>
      </c>
      <c r="AE19" t="str">
        <f t="shared" si="8"/>
        <v>01111111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11100000</v>
      </c>
      <c r="AW19" t="str">
        <f t="shared" si="10"/>
        <v>224,</v>
      </c>
      <c r="AX19" t="str">
        <f t="shared" si="11"/>
        <v xml:space="preserve"> 0xE0,</v>
      </c>
      <c r="AY19" t="s">
        <v>0</v>
      </c>
      <c r="AZ19" t="s">
        <v>1</v>
      </c>
      <c r="BD19" t="str">
        <f t="shared" si="12"/>
        <v xml:space="preserve"> 0x1C,</v>
      </c>
      <c r="BE19" t="str">
        <f t="shared" si="13"/>
        <v>28,</v>
      </c>
      <c r="BF19" t="str">
        <f t="shared" si="14"/>
        <v>00011100</v>
      </c>
      <c r="BG19">
        <v>0</v>
      </c>
      <c r="BH19">
        <v>0</v>
      </c>
      <c r="BI19">
        <v>0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0x3F,</v>
      </c>
      <c r="C20" t="str">
        <f t="shared" si="1"/>
        <v>63,</v>
      </c>
      <c r="D20" t="str">
        <f t="shared" si="2"/>
        <v>00111111</v>
      </c>
      <c r="E20">
        <v>0</v>
      </c>
      <c r="F20">
        <v>0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11000000</v>
      </c>
      <c r="V20" t="str">
        <f t="shared" si="4"/>
        <v>192,</v>
      </c>
      <c r="W20" t="str">
        <f t="shared" si="5"/>
        <v xml:space="preserve"> 0xC0,</v>
      </c>
      <c r="X20" t="s">
        <v>0</v>
      </c>
      <c r="Y20" t="s">
        <v>1</v>
      </c>
      <c r="AC20" t="str">
        <f t="shared" si="6"/>
        <v xml:space="preserve"> 0x3F,</v>
      </c>
      <c r="AD20" t="str">
        <f t="shared" si="7"/>
        <v>63,</v>
      </c>
      <c r="AE20" t="str">
        <f t="shared" si="8"/>
        <v>00111111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11000000</v>
      </c>
      <c r="AW20" t="str">
        <f t="shared" si="10"/>
        <v>192,</v>
      </c>
      <c r="AX20" t="str">
        <f t="shared" si="11"/>
        <v xml:space="preserve"> 0xC0,</v>
      </c>
      <c r="AY20" t="s">
        <v>0</v>
      </c>
      <c r="AZ20" t="s">
        <v>1</v>
      </c>
      <c r="BD20" t="str">
        <f t="shared" si="12"/>
        <v xml:space="preserve"> 0x1C,</v>
      </c>
      <c r="BE20" t="str">
        <f t="shared" si="13"/>
        <v>28,</v>
      </c>
      <c r="BF20" t="str">
        <f t="shared" si="14"/>
        <v>00011100</v>
      </c>
      <c r="BG20">
        <v>0</v>
      </c>
      <c r="BH20">
        <v>0</v>
      </c>
      <c r="BI20">
        <v>0</v>
      </c>
      <c r="BJ20">
        <v>1</v>
      </c>
      <c r="BK20">
        <v>1</v>
      </c>
      <c r="BL20">
        <v>1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1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12,</v>
      </c>
      <c r="V22" t="str">
        <f>Y20&amp;DEC2HEX(U22,2)&amp;X20</f>
        <v xml:space="preserve"> 0x0C,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1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12,</v>
      </c>
      <c r="AW22" t="str">
        <f>AZ20&amp;DEC2HEX(AV22,2)&amp;AY20</f>
        <v xml:space="preserve"> 0x0C,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1</v>
      </c>
      <c r="BR22">
        <f t="shared" si="20"/>
        <v>1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12,</v>
      </c>
      <c r="BX22" t="str">
        <f>CA20&amp;DEC2HEX(BW22,2)&amp;BZ20</f>
        <v xml:space="preserve"> 0x0C,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12,255,240,255,240,224,112,224,0,224,0,224,0,224,0,255,192,255,224,0,240,0,112,0,112,224,112,240,240,127,224,63,192,//5//53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12,63,192,127,224,240,240,224,112,224,0,224,0,224,0,255,192,255,224,240,240,224,112,224,112,224,112,240,240,127,224,63,192,//6//54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12,255,240,255,240,224,112,0,112,0,224,1,192,3,128,7,0,14,0,14,0,28,0,28,0,28,0,28,0,28,0,28,0,//7//55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0x0C, 0xFF, 0xF0, 0xFF, 0xF0, 0xE0, 0x70, 0xE0, 0x00, 0xE0, 0x00, 0xE0, 0x00, 0xE0, 0x00, 0xFF, 0xC0, 0xFF, 0xE0, 0x00, 0xF0, 0x00, 0x70, 0x00, 0x70, 0xE0, 0x70, 0xF0, 0xF0, 0x7F, 0xE0, 0x3F, 0xC0,//5//53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0x0C, 0x3F, 0xC0, 0x7F, 0xE0, 0xF0, 0xF0, 0xE0, 0x70, 0xE0, 0x00, 0xE0, 0x00, 0xE0, 0x00, 0xFF, 0xC0, 0xFF, 0xE0, 0xF0, 0xF0, 0xE0, 0x70, 0xE0, 0x70, 0xE0, 0x70, 0xF0, 0xF0, 0x7F, 0xE0, 0x3F, 0xC0,//6//54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0x0C, 0xFF, 0xF0, 0xFF, 0xF0, 0xE0, 0x70, 0x00, 0x70, 0x00, 0xE0, 0x01, 0xC0, 0x03, 0x80, 0x07, 0x00, 0x0E, 0x00, 0x0E, 0x00, 0x1C, 0x00, 0x1C, 0x00, 0x1C, 0x00, 0x1C, 0x00, 0x1C, 0x00, 0x1C, 0x00,//7//55</v>
      </c>
    </row>
    <row r="28" spans="1:79">
      <c r="A28" s="1" t="str">
        <f>$B$24</f>
        <v>12,255,240,255,240,224,112,224,0,224,0,224,0,224,0,255,192,255,224,0,240,0,112,0,112,224,112,240,240,127,224,63,192,//5//53</v>
      </c>
      <c r="E28" t="s">
        <v>4</v>
      </c>
      <c r="AB28" s="1" t="str">
        <f>$AC$24</f>
        <v>12,63,192,127,224,240,240,224,112,224,0,224,0,224,0,255,192,255,224,240,240,224,112,224,112,224,112,240,240,127,224,63,192,//6//54</v>
      </c>
      <c r="AF28" t="s">
        <v>4</v>
      </c>
      <c r="BC28" s="1" t="str">
        <f>$BD$24</f>
        <v>12,255,240,255,240,224,112,0,112,0,224,1,192,3,128,7,0,14,0,14,0,28,0,28,0,28,0,28,0,28,0,28,0,//7//55</v>
      </c>
      <c r="BG28" t="s">
        <v>4</v>
      </c>
    </row>
    <row r="29" spans="1:79">
      <c r="A29" s="2" t="str">
        <f>$B$25</f>
        <v xml:space="preserve"> 0x0C, 0xFF, 0xF0, 0xFF, 0xF0, 0xE0, 0x70, 0xE0, 0x00, 0xE0, 0x00, 0xE0, 0x00, 0xE0, 0x00, 0xFF, 0xC0, 0xFF, 0xE0, 0x00, 0xF0, 0x00, 0x70, 0x00, 0x70, 0xE0, 0x70, 0xF0, 0xF0, 0x7F, 0xE0, 0x3F, 0xC0,//5//53</v>
      </c>
      <c r="E29" t="s">
        <v>3</v>
      </c>
      <c r="AB29" s="2" t="str">
        <f>$AC$25</f>
        <v xml:space="preserve"> 0x0C, 0x3F, 0xC0, 0x7F, 0xE0, 0xF0, 0xF0, 0xE0, 0x70, 0xE0, 0x00, 0xE0, 0x00, 0xE0, 0x00, 0xFF, 0xC0, 0xFF, 0xE0, 0xF0, 0xF0, 0xE0, 0x70, 0xE0, 0x70, 0xE0, 0x70, 0xF0, 0xF0, 0x7F, 0xE0, 0x3F, 0xC0,//6//54</v>
      </c>
      <c r="AF29" t="s">
        <v>3</v>
      </c>
      <c r="BC29" s="2" t="str">
        <f>$BD$25</f>
        <v xml:space="preserve"> 0x0C, 0xFF, 0xF0, 0xFF, 0xF0, 0xE0, 0x70, 0x00, 0x70, 0x00, 0xE0, 0x01, 0xC0, 0x03, 0x80, 0x07, 0x00, 0x0E, 0x00, 0x0E, 0x00, 0x1C, 0x00, 0x1C, 0x00, 0x1C, 0x00, 0x1C, 0x00, 0x1C, 0x00, 0x1C, 0x00,//7//55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H13:K13 H8:L12 E5:N5 G8:G17 G20 E6:F20 M8:M17 M20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M20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 M14:N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73" priority="11" operator="greaterThan">
      <formula>1</formula>
    </cfRule>
  </conditionalFormatting>
  <conditionalFormatting sqref="AH6:AO7 AH18:AO19 AH8:AH17 AI8:AM12 AF5:AO5 AI13:AL15 AI16 AF6:AG20 AM13:AM17 AN8:AO17 AM20:AO20 AJ16:AK17 AJ20:AK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72" priority="6" operator="greaterThan">
      <formula>1</formula>
    </cfRule>
  </conditionalFormatting>
  <conditionalFormatting sqref="BG6:BH20 BI6:BP7 BI18:BP19 BI8:BI17 BJ13:BM13 BJ8:BN12 BG5:BP5 BO8:BP17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P13:BP19 BO13:BO18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71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4:CB29"/>
  <sheetViews>
    <sheetView workbookViewId="0">
      <selection activeCell="P31" sqref="P31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56</v>
      </c>
      <c r="Z4" t="s">
        <v>5</v>
      </c>
      <c r="AB4" s="3">
        <v>57</v>
      </c>
      <c r="BA4" t="s">
        <v>5</v>
      </c>
      <c r="BC4" s="3">
        <v>58</v>
      </c>
      <c r="CB4" t="s">
        <v>5</v>
      </c>
    </row>
    <row r="5" spans="1:80">
      <c r="A5" s="3">
        <v>8</v>
      </c>
      <c r="B5" t="str">
        <f>Z5&amp;Y5&amp;BIN2HEX(D5,2)&amp;X5</f>
        <v xml:space="preserve"> 0x1F,</v>
      </c>
      <c r="C5" t="str">
        <f>Z5&amp;BIN2DEC(D5)&amp;X5</f>
        <v>31,</v>
      </c>
      <c r="D5" t="str">
        <f>E5&amp;F5&amp;G5&amp;H5&amp;I5&amp;J5&amp;K5&amp;L5</f>
        <v>00011111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10000000</v>
      </c>
      <c r="V5" t="str">
        <f>Z5&amp;BIN2DEC(U5)&amp;X5</f>
        <v>128,</v>
      </c>
      <c r="W5" t="str">
        <f>Z5&amp;Y5&amp;BIN2HEX(U5,2)&amp;X5</f>
        <v xml:space="preserve"> 0x80,</v>
      </c>
      <c r="X5" t="s">
        <v>0</v>
      </c>
      <c r="Y5" t="s">
        <v>1</v>
      </c>
      <c r="AB5" s="3">
        <v>9</v>
      </c>
      <c r="AC5" t="str">
        <f>BA5&amp;AZ5&amp;BIN2HEX(AE5,2)&amp;AY5</f>
        <v xml:space="preserve"> 0x3F,</v>
      </c>
      <c r="AD5" t="str">
        <f>BA5&amp;BIN2DEC(AE5)&amp;AY5</f>
        <v>63,</v>
      </c>
      <c r="AE5" t="str">
        <f>AF5&amp;AG5&amp;AH5&amp;AI5&amp;AJ5&amp;AK5&amp;AL5&amp;AM5</f>
        <v>00111111</v>
      </c>
      <c r="AF5">
        <v>0</v>
      </c>
      <c r="AG5">
        <v>0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11000000</v>
      </c>
      <c r="AW5" t="str">
        <f>BA5&amp;BIN2DEC(AV5)&amp;AY5</f>
        <v>192,</v>
      </c>
      <c r="AX5" t="str">
        <f>BA5&amp;AZ5&amp;BIN2HEX(AV5,2)&amp;AY5</f>
        <v xml:space="preserve"> 0xC0,</v>
      </c>
      <c r="AY5" t="s">
        <v>0</v>
      </c>
      <c r="AZ5" t="s">
        <v>1</v>
      </c>
      <c r="BC5" s="3" t="s">
        <v>230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0x3F,</v>
      </c>
      <c r="C6" t="str">
        <f t="shared" ref="C6:C20" si="1">Z6&amp;BIN2DEC(D6)&amp;X6</f>
        <v>63,</v>
      </c>
      <c r="D6" t="str">
        <f t="shared" ref="D6:D20" si="2">E6&amp;F6&amp;G6&amp;H6&amp;I6&amp;J6&amp;K6&amp;L6</f>
        <v>00111111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11000000</v>
      </c>
      <c r="V6" t="str">
        <f t="shared" ref="V6:V20" si="4">Z6&amp;BIN2DEC(U6)&amp;X6</f>
        <v>192,</v>
      </c>
      <c r="W6" t="str">
        <f t="shared" ref="W6:W20" si="5">Z6&amp;Y6&amp;BIN2HEX(U6,2)&amp;X6</f>
        <v xml:space="preserve"> 0xC0,</v>
      </c>
      <c r="X6" t="s">
        <v>0</v>
      </c>
      <c r="Y6" t="s">
        <v>1</v>
      </c>
      <c r="AC6" t="str">
        <f t="shared" ref="AC6:AC20" si="6">BA6&amp;AZ6&amp;BIN2HEX(AE6,2)&amp;AY6</f>
        <v xml:space="preserve"> 0x7F,</v>
      </c>
      <c r="AD6" t="str">
        <f t="shared" ref="AD6:AD20" si="7">BA6&amp;BIN2DEC(AE6)&amp;AY6</f>
        <v>127,</v>
      </c>
      <c r="AE6" t="str">
        <f t="shared" ref="AE6:AE20" si="8">AF6&amp;AG6&amp;AH6&amp;AI6&amp;AJ6&amp;AK6&amp;AL6&amp;AM6</f>
        <v>01111111</v>
      </c>
      <c r="AF6">
        <v>0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11100000</v>
      </c>
      <c r="AW6" t="str">
        <f t="shared" ref="AW6:AW20" si="10">BA6&amp;BIN2DEC(AV6)&amp;AY6</f>
        <v>224,</v>
      </c>
      <c r="AX6" t="str">
        <f t="shared" ref="AX6:AX20" si="11">BA6&amp;AZ6&amp;BIN2HEX(AV6,2)&amp;AY6</f>
        <v xml:space="preserve"> 0xE0,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0x79,</v>
      </c>
      <c r="C7" t="str">
        <f t="shared" si="1"/>
        <v>121,</v>
      </c>
      <c r="D7" t="str">
        <f t="shared" si="2"/>
        <v>01111001</v>
      </c>
      <c r="E7">
        <v>0</v>
      </c>
      <c r="F7">
        <v>1</v>
      </c>
      <c r="G7">
        <v>1</v>
      </c>
      <c r="H7">
        <v>1</v>
      </c>
      <c r="I7">
        <v>1</v>
      </c>
      <c r="J7">
        <v>0</v>
      </c>
      <c r="K7">
        <v>0</v>
      </c>
      <c r="L7">
        <v>1</v>
      </c>
      <c r="M7">
        <v>1</v>
      </c>
      <c r="N7">
        <v>1</v>
      </c>
      <c r="O7">
        <v>1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11100000</v>
      </c>
      <c r="V7" t="str">
        <f t="shared" si="4"/>
        <v>224,</v>
      </c>
      <c r="W7" t="str">
        <f t="shared" si="5"/>
        <v xml:space="preserve"> 0xE0,</v>
      </c>
      <c r="X7" t="s">
        <v>0</v>
      </c>
      <c r="Y7" t="s">
        <v>1</v>
      </c>
      <c r="AC7" t="str">
        <f t="shared" si="6"/>
        <v xml:space="preserve"> 0xF0,</v>
      </c>
      <c r="AD7" t="str">
        <f t="shared" si="7"/>
        <v>240,</v>
      </c>
      <c r="AE7" t="str">
        <f t="shared" si="8"/>
        <v>11110000</v>
      </c>
      <c r="AF7">
        <v>1</v>
      </c>
      <c r="AG7">
        <v>1</v>
      </c>
      <c r="AH7">
        <v>1</v>
      </c>
      <c r="AI7">
        <v>1</v>
      </c>
      <c r="AJ7">
        <v>0</v>
      </c>
      <c r="AK7">
        <v>0</v>
      </c>
      <c r="AL7">
        <v>0</v>
      </c>
      <c r="AM7">
        <v>0</v>
      </c>
      <c r="AN7">
        <v>1</v>
      </c>
      <c r="AO7">
        <v>1</v>
      </c>
      <c r="AP7">
        <v>1</v>
      </c>
      <c r="AQ7">
        <v>1</v>
      </c>
      <c r="AR7">
        <v>0</v>
      </c>
      <c r="AS7">
        <v>0</v>
      </c>
      <c r="AT7">
        <v>0</v>
      </c>
      <c r="AU7">
        <v>0</v>
      </c>
      <c r="AV7" t="str">
        <f t="shared" si="9"/>
        <v>11110000</v>
      </c>
      <c r="AW7" t="str">
        <f t="shared" si="10"/>
        <v>240,</v>
      </c>
      <c r="AX7" t="str">
        <f t="shared" si="11"/>
        <v xml:space="preserve"> 0xF0,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0x70,</v>
      </c>
      <c r="C8" t="str">
        <f t="shared" si="1"/>
        <v>112,</v>
      </c>
      <c r="D8" t="str">
        <f t="shared" si="2"/>
        <v>01110000</v>
      </c>
      <c r="E8">
        <v>0</v>
      </c>
      <c r="F8">
        <v>1</v>
      </c>
      <c r="G8">
        <v>1</v>
      </c>
      <c r="H8">
        <v>1</v>
      </c>
      <c r="I8">
        <v>0</v>
      </c>
      <c r="J8">
        <v>0</v>
      </c>
      <c r="K8">
        <v>0</v>
      </c>
      <c r="L8">
        <v>0</v>
      </c>
      <c r="M8">
        <v>1</v>
      </c>
      <c r="N8">
        <v>1</v>
      </c>
      <c r="O8">
        <v>1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11100000</v>
      </c>
      <c r="V8" t="str">
        <f t="shared" si="4"/>
        <v>224,</v>
      </c>
      <c r="W8" t="str">
        <f t="shared" si="5"/>
        <v xml:space="preserve"> 0xE0,</v>
      </c>
      <c r="X8" t="s">
        <v>0</v>
      </c>
      <c r="Y8" t="s">
        <v>1</v>
      </c>
      <c r="AC8" t="str">
        <f t="shared" si="6"/>
        <v xml:space="preserve"> 0xE0,</v>
      </c>
      <c r="AD8" t="str">
        <f t="shared" si="7"/>
        <v>224,</v>
      </c>
      <c r="AE8" t="str">
        <f t="shared" si="8"/>
        <v>11100000</v>
      </c>
      <c r="AF8">
        <v>1</v>
      </c>
      <c r="AG8">
        <v>1</v>
      </c>
      <c r="AH8">
        <v>1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1</v>
      </c>
      <c r="AP8">
        <v>1</v>
      </c>
      <c r="AQ8">
        <v>1</v>
      </c>
      <c r="AR8">
        <v>0</v>
      </c>
      <c r="AS8">
        <v>0</v>
      </c>
      <c r="AT8">
        <v>0</v>
      </c>
      <c r="AU8">
        <v>0</v>
      </c>
      <c r="AV8" t="str">
        <f t="shared" si="9"/>
        <v>01110000</v>
      </c>
      <c r="AW8" t="str">
        <f t="shared" si="10"/>
        <v>112,</v>
      </c>
      <c r="AX8" t="str">
        <f t="shared" si="11"/>
        <v xml:space="preserve"> 0x70,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0x70,</v>
      </c>
      <c r="C9" t="str">
        <f t="shared" si="1"/>
        <v>112,</v>
      </c>
      <c r="D9" t="str">
        <f t="shared" si="2"/>
        <v>01110000</v>
      </c>
      <c r="E9">
        <v>0</v>
      </c>
      <c r="F9">
        <v>1</v>
      </c>
      <c r="G9">
        <v>1</v>
      </c>
      <c r="H9">
        <v>1</v>
      </c>
      <c r="I9">
        <v>0</v>
      </c>
      <c r="J9">
        <v>0</v>
      </c>
      <c r="K9">
        <v>0</v>
      </c>
      <c r="L9">
        <v>0</v>
      </c>
      <c r="M9">
        <v>1</v>
      </c>
      <c r="N9">
        <v>1</v>
      </c>
      <c r="O9">
        <v>1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11100000</v>
      </c>
      <c r="V9" t="str">
        <f t="shared" si="4"/>
        <v>224,</v>
      </c>
      <c r="W9" t="str">
        <f t="shared" si="5"/>
        <v xml:space="preserve"> 0xE0,</v>
      </c>
      <c r="X9" t="s">
        <v>0</v>
      </c>
      <c r="Y9" t="s">
        <v>1</v>
      </c>
      <c r="AC9" t="str">
        <f t="shared" si="6"/>
        <v xml:space="preserve"> 0xE0,</v>
      </c>
      <c r="AD9" t="str">
        <f t="shared" si="7"/>
        <v>224,</v>
      </c>
      <c r="AE9" t="str">
        <f t="shared" si="8"/>
        <v>11100000</v>
      </c>
      <c r="AF9">
        <v>1</v>
      </c>
      <c r="AG9">
        <v>1</v>
      </c>
      <c r="AH9">
        <v>1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1</v>
      </c>
      <c r="AP9">
        <v>1</v>
      </c>
      <c r="AQ9">
        <v>1</v>
      </c>
      <c r="AR9">
        <v>0</v>
      </c>
      <c r="AS9">
        <v>0</v>
      </c>
      <c r="AT9">
        <v>0</v>
      </c>
      <c r="AU9">
        <v>0</v>
      </c>
      <c r="AV9" t="str">
        <f t="shared" si="9"/>
        <v>01110000</v>
      </c>
      <c r="AW9" t="str">
        <f t="shared" si="10"/>
        <v>112,</v>
      </c>
      <c r="AX9" t="str">
        <f t="shared" si="11"/>
        <v xml:space="preserve"> 0x70,</v>
      </c>
      <c r="AY9" t="s">
        <v>0</v>
      </c>
      <c r="AZ9" t="s">
        <v>1</v>
      </c>
      <c r="BD9" t="str">
        <f t="shared" si="12"/>
        <v xml:space="preserve"> 0x00,</v>
      </c>
      <c r="BE9" t="str">
        <f t="shared" si="13"/>
        <v>0,</v>
      </c>
      <c r="BF9" t="str">
        <f t="shared" si="14"/>
        <v>00000000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0x70,</v>
      </c>
      <c r="C10" t="str">
        <f t="shared" si="1"/>
        <v>112,</v>
      </c>
      <c r="D10" t="str">
        <f t="shared" si="2"/>
        <v>01110000</v>
      </c>
      <c r="E10">
        <v>0</v>
      </c>
      <c r="F10">
        <v>1</v>
      </c>
      <c r="G10">
        <v>1</v>
      </c>
      <c r="H10">
        <v>1</v>
      </c>
      <c r="I10">
        <v>0</v>
      </c>
      <c r="J10">
        <v>0</v>
      </c>
      <c r="K10">
        <v>0</v>
      </c>
      <c r="L10">
        <v>0</v>
      </c>
      <c r="M10">
        <v>1</v>
      </c>
      <c r="N10">
        <v>1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11100000</v>
      </c>
      <c r="V10" t="str">
        <f t="shared" si="4"/>
        <v>224,</v>
      </c>
      <c r="W10" t="str">
        <f t="shared" si="5"/>
        <v xml:space="preserve"> 0xE0,</v>
      </c>
      <c r="X10" t="s">
        <v>0</v>
      </c>
      <c r="Y10" t="s">
        <v>1</v>
      </c>
      <c r="AC10" t="str">
        <f t="shared" si="6"/>
        <v xml:space="preserve"> 0xE0,</v>
      </c>
      <c r="AD10" t="str">
        <f t="shared" si="7"/>
        <v>224,</v>
      </c>
      <c r="AE10" t="str">
        <f t="shared" si="8"/>
        <v>11100000</v>
      </c>
      <c r="AF10">
        <v>1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1</v>
      </c>
      <c r="AP10">
        <v>1</v>
      </c>
      <c r="AQ10">
        <v>1</v>
      </c>
      <c r="AR10">
        <v>0</v>
      </c>
      <c r="AS10">
        <v>0</v>
      </c>
      <c r="AT10">
        <v>0</v>
      </c>
      <c r="AU10">
        <v>0</v>
      </c>
      <c r="AV10" t="str">
        <f t="shared" si="9"/>
        <v>01110000</v>
      </c>
      <c r="AW10" t="str">
        <f t="shared" si="10"/>
        <v>112,</v>
      </c>
      <c r="AX10" t="str">
        <f t="shared" si="11"/>
        <v xml:space="preserve"> 0x70,</v>
      </c>
      <c r="AY10" t="s">
        <v>0</v>
      </c>
      <c r="AZ10" t="s">
        <v>1</v>
      </c>
      <c r="BD10" t="str">
        <f t="shared" si="12"/>
        <v xml:space="preserve"> 0xE0,</v>
      </c>
      <c r="BE10" t="str">
        <f t="shared" si="13"/>
        <v>224,</v>
      </c>
      <c r="BF10" t="str">
        <f t="shared" si="14"/>
        <v>11100000</v>
      </c>
      <c r="BG10">
        <v>1</v>
      </c>
      <c r="BH10">
        <v>1</v>
      </c>
      <c r="BI10">
        <v>1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0x39,</v>
      </c>
      <c r="C11" t="str">
        <f t="shared" si="1"/>
        <v>57,</v>
      </c>
      <c r="D11" t="str">
        <f t="shared" si="2"/>
        <v>00111001</v>
      </c>
      <c r="E11">
        <v>0</v>
      </c>
      <c r="F11">
        <v>0</v>
      </c>
      <c r="G11">
        <v>1</v>
      </c>
      <c r="H11">
        <v>1</v>
      </c>
      <c r="I11">
        <v>1</v>
      </c>
      <c r="J11">
        <v>0</v>
      </c>
      <c r="K11">
        <v>0</v>
      </c>
      <c r="L11">
        <v>1</v>
      </c>
      <c r="M11">
        <v>1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11000000</v>
      </c>
      <c r="V11" t="str">
        <f t="shared" si="4"/>
        <v>192,</v>
      </c>
      <c r="W11" t="str">
        <f t="shared" si="5"/>
        <v xml:space="preserve"> 0xC0,</v>
      </c>
      <c r="X11" t="s">
        <v>0</v>
      </c>
      <c r="Y11" t="s">
        <v>1</v>
      </c>
      <c r="AC11" t="str">
        <f t="shared" si="6"/>
        <v xml:space="preserve"> 0xF0,</v>
      </c>
      <c r="AD11" t="str">
        <f t="shared" si="7"/>
        <v>240,</v>
      </c>
      <c r="AE11" t="str">
        <f t="shared" si="8"/>
        <v>11110000</v>
      </c>
      <c r="AF11">
        <v>1</v>
      </c>
      <c r="AG11">
        <v>1</v>
      </c>
      <c r="AH11">
        <v>1</v>
      </c>
      <c r="AI11">
        <v>1</v>
      </c>
      <c r="AJ11">
        <v>0</v>
      </c>
      <c r="AK11">
        <v>0</v>
      </c>
      <c r="AL11">
        <v>0</v>
      </c>
      <c r="AM11">
        <v>0</v>
      </c>
      <c r="AN11">
        <v>1</v>
      </c>
      <c r="AO11">
        <v>1</v>
      </c>
      <c r="AP11">
        <v>1</v>
      </c>
      <c r="AQ11">
        <v>1</v>
      </c>
      <c r="AR11">
        <v>0</v>
      </c>
      <c r="AS11">
        <v>0</v>
      </c>
      <c r="AT11">
        <v>0</v>
      </c>
      <c r="AU11">
        <v>0</v>
      </c>
      <c r="AV11" t="str">
        <f t="shared" si="9"/>
        <v>11110000</v>
      </c>
      <c r="AW11" t="str">
        <f t="shared" si="10"/>
        <v>240,</v>
      </c>
      <c r="AX11" t="str">
        <f t="shared" si="11"/>
        <v xml:space="preserve"> 0xF0,</v>
      </c>
      <c r="AY11" t="s">
        <v>0</v>
      </c>
      <c r="AZ11" t="s">
        <v>1</v>
      </c>
      <c r="BD11" t="str">
        <f t="shared" si="12"/>
        <v xml:space="preserve"> 0xE0,</v>
      </c>
      <c r="BE11" t="str">
        <f t="shared" si="13"/>
        <v>224,</v>
      </c>
      <c r="BF11" t="str">
        <f t="shared" si="14"/>
        <v>11100000</v>
      </c>
      <c r="BG11">
        <v>1</v>
      </c>
      <c r="BH11">
        <v>1</v>
      </c>
      <c r="BI11">
        <v>1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0x3F,</v>
      </c>
      <c r="C12" t="str">
        <f t="shared" si="1"/>
        <v>63,</v>
      </c>
      <c r="D12" t="str">
        <f t="shared" si="2"/>
        <v>00111111</v>
      </c>
      <c r="E12">
        <v>0</v>
      </c>
      <c r="F12">
        <v>0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0x7F,</v>
      </c>
      <c r="AD12" t="str">
        <f t="shared" si="7"/>
        <v>127,</v>
      </c>
      <c r="AE12" t="str">
        <f t="shared" si="8"/>
        <v>01111111</v>
      </c>
      <c r="AF12">
        <v>0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0</v>
      </c>
      <c r="AS12">
        <v>0</v>
      </c>
      <c r="AT12">
        <v>0</v>
      </c>
      <c r="AU12">
        <v>0</v>
      </c>
      <c r="AV12" t="str">
        <f t="shared" si="9"/>
        <v>11110000</v>
      </c>
      <c r="AW12" t="str">
        <f t="shared" si="10"/>
        <v>240,</v>
      </c>
      <c r="AX12" t="str">
        <f t="shared" si="11"/>
        <v xml:space="preserve"> 0xF0,</v>
      </c>
      <c r="AY12" t="s">
        <v>0</v>
      </c>
      <c r="AZ12" t="s">
        <v>1</v>
      </c>
      <c r="BD12" t="str">
        <f t="shared" si="12"/>
        <v xml:space="preserve"> 0xE0,</v>
      </c>
      <c r="BE12" t="str">
        <f t="shared" si="13"/>
        <v>224,</v>
      </c>
      <c r="BF12" t="str">
        <f t="shared" si="14"/>
        <v>11100000</v>
      </c>
      <c r="BG12">
        <v>1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0x7F,</v>
      </c>
      <c r="C13" t="str">
        <f t="shared" si="1"/>
        <v>127,</v>
      </c>
      <c r="D13" t="str">
        <f t="shared" si="2"/>
        <v>01111111</v>
      </c>
      <c r="E13">
        <v>0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11100000</v>
      </c>
      <c r="V13" t="str">
        <f t="shared" si="4"/>
        <v>224,</v>
      </c>
      <c r="W13" t="str">
        <f t="shared" si="5"/>
        <v xml:space="preserve"> 0xE0,</v>
      </c>
      <c r="X13" t="s">
        <v>0</v>
      </c>
      <c r="Y13" t="s">
        <v>1</v>
      </c>
      <c r="AC13" t="str">
        <f t="shared" si="6"/>
        <v xml:space="preserve"> 0x3F,</v>
      </c>
      <c r="AD13" t="str">
        <f t="shared" si="7"/>
        <v>63,</v>
      </c>
      <c r="AE13" t="str">
        <f t="shared" si="8"/>
        <v>00111111</v>
      </c>
      <c r="AF13">
        <v>0</v>
      </c>
      <c r="AG13">
        <v>0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0</v>
      </c>
      <c r="AS13">
        <v>0</v>
      </c>
      <c r="AT13">
        <v>0</v>
      </c>
      <c r="AU13">
        <v>0</v>
      </c>
      <c r="AV13" t="str">
        <f t="shared" si="9"/>
        <v>11110000</v>
      </c>
      <c r="AW13" t="str">
        <f t="shared" si="10"/>
        <v>240,</v>
      </c>
      <c r="AX13" t="str">
        <f t="shared" si="11"/>
        <v xml:space="preserve"> 0xF0,</v>
      </c>
      <c r="AY13" t="s">
        <v>0</v>
      </c>
      <c r="AZ13" t="s">
        <v>1</v>
      </c>
      <c r="BD13" t="str">
        <f t="shared" si="12"/>
        <v xml:space="preserve"> 0x00,</v>
      </c>
      <c r="BE13" t="str">
        <f t="shared" si="13"/>
        <v>0,</v>
      </c>
      <c r="BF13" t="str">
        <f t="shared" si="14"/>
        <v>00000000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0xF0,</v>
      </c>
      <c r="C14" t="str">
        <f t="shared" si="1"/>
        <v>240,</v>
      </c>
      <c r="D14" t="str">
        <f t="shared" si="2"/>
        <v>11110000</v>
      </c>
      <c r="E14">
        <v>1</v>
      </c>
      <c r="F14">
        <v>1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>
        <v>1</v>
      </c>
      <c r="N14">
        <v>1</v>
      </c>
      <c r="O14">
        <v>1</v>
      </c>
      <c r="P14">
        <v>1</v>
      </c>
      <c r="Q14">
        <v>0</v>
      </c>
      <c r="R14">
        <v>0</v>
      </c>
      <c r="S14">
        <v>0</v>
      </c>
      <c r="T14">
        <v>0</v>
      </c>
      <c r="U14" t="str">
        <f t="shared" si="3"/>
        <v>11110000</v>
      </c>
      <c r="V14" t="str">
        <f t="shared" si="4"/>
        <v>240,</v>
      </c>
      <c r="W14" t="str">
        <f t="shared" si="5"/>
        <v xml:space="preserve"> 0xF0,</v>
      </c>
      <c r="X14" t="s">
        <v>0</v>
      </c>
      <c r="Y14" t="s">
        <v>1</v>
      </c>
      <c r="AC14" t="str">
        <f t="shared" si="6"/>
        <v xml:space="preserve"> 0x00,</v>
      </c>
      <c r="AD14" t="str">
        <f t="shared" si="7"/>
        <v>0,</v>
      </c>
      <c r="AE14" t="str">
        <f t="shared" si="8"/>
        <v>00000000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1</v>
      </c>
      <c r="AP14">
        <v>1</v>
      </c>
      <c r="AQ14">
        <v>1</v>
      </c>
      <c r="AR14">
        <v>0</v>
      </c>
      <c r="AS14">
        <v>0</v>
      </c>
      <c r="AT14">
        <v>0</v>
      </c>
      <c r="AU14">
        <v>0</v>
      </c>
      <c r="AV14" t="str">
        <f t="shared" si="9"/>
        <v>01110000</v>
      </c>
      <c r="AW14" t="str">
        <f t="shared" si="10"/>
        <v>112,</v>
      </c>
      <c r="AX14" t="str">
        <f t="shared" si="11"/>
        <v xml:space="preserve"> 0x70,</v>
      </c>
      <c r="AY14" t="s">
        <v>0</v>
      </c>
      <c r="AZ14" t="s">
        <v>1</v>
      </c>
      <c r="BD14" t="str">
        <f t="shared" si="12"/>
        <v xml:space="preserve"> 0x00,</v>
      </c>
      <c r="BE14" t="str">
        <f t="shared" si="13"/>
        <v>0,</v>
      </c>
      <c r="BF14" t="str">
        <f t="shared" si="14"/>
        <v>00000000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0xE0,</v>
      </c>
      <c r="C15" t="str">
        <f t="shared" si="1"/>
        <v>224,</v>
      </c>
      <c r="D15" t="str">
        <f t="shared" si="2"/>
        <v>11100000</v>
      </c>
      <c r="E15">
        <v>1</v>
      </c>
      <c r="F15">
        <v>1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1</v>
      </c>
      <c r="P15">
        <v>1</v>
      </c>
      <c r="Q15">
        <v>0</v>
      </c>
      <c r="R15">
        <v>0</v>
      </c>
      <c r="S15">
        <v>0</v>
      </c>
      <c r="T15">
        <v>0</v>
      </c>
      <c r="U15" t="str">
        <f t="shared" si="3"/>
        <v>01110000</v>
      </c>
      <c r="V15" t="str">
        <f t="shared" si="4"/>
        <v>112,</v>
      </c>
      <c r="W15" t="str">
        <f t="shared" si="5"/>
        <v xml:space="preserve"> 0x70,</v>
      </c>
      <c r="X15" t="s">
        <v>0</v>
      </c>
      <c r="Y15" t="s">
        <v>1</v>
      </c>
      <c r="AC15" t="str">
        <f t="shared" si="6"/>
        <v xml:space="preserve"> 0x00,</v>
      </c>
      <c r="AD15" t="str">
        <f t="shared" si="7"/>
        <v>0,</v>
      </c>
      <c r="AE15" t="str">
        <f t="shared" si="8"/>
        <v>00000000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</v>
      </c>
      <c r="AR15">
        <v>0</v>
      </c>
      <c r="AS15">
        <v>0</v>
      </c>
      <c r="AT15">
        <v>0</v>
      </c>
      <c r="AU15">
        <v>0</v>
      </c>
      <c r="AV15" t="str">
        <f t="shared" si="9"/>
        <v>01110000</v>
      </c>
      <c r="AW15" t="str">
        <f t="shared" si="10"/>
        <v>112,</v>
      </c>
      <c r="AX15" t="str">
        <f t="shared" si="11"/>
        <v xml:space="preserve"> 0x70,</v>
      </c>
      <c r="AY15" t="s">
        <v>0</v>
      </c>
      <c r="AZ15" t="s">
        <v>1</v>
      </c>
      <c r="BD15" t="str">
        <f t="shared" si="12"/>
        <v xml:space="preserve"> 0x00,</v>
      </c>
      <c r="BE15" t="str">
        <f t="shared" si="13"/>
        <v>0,</v>
      </c>
      <c r="BF15" t="str">
        <f t="shared" si="14"/>
        <v>00000000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0xE0,</v>
      </c>
      <c r="C16" t="str">
        <f t="shared" si="1"/>
        <v>224,</v>
      </c>
      <c r="D16" t="str">
        <f t="shared" si="2"/>
        <v>11100000</v>
      </c>
      <c r="E16">
        <v>1</v>
      </c>
      <c r="F16">
        <v>1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1</v>
      </c>
      <c r="P16">
        <v>1</v>
      </c>
      <c r="Q16">
        <v>0</v>
      </c>
      <c r="R16">
        <v>0</v>
      </c>
      <c r="S16">
        <v>0</v>
      </c>
      <c r="T16">
        <v>0</v>
      </c>
      <c r="U16" t="str">
        <f t="shared" si="3"/>
        <v>01110000</v>
      </c>
      <c r="V16" t="str">
        <f t="shared" si="4"/>
        <v>112,</v>
      </c>
      <c r="W16" t="str">
        <f t="shared" si="5"/>
        <v xml:space="preserve"> 0x70,</v>
      </c>
      <c r="X16" t="s">
        <v>0</v>
      </c>
      <c r="Y16" t="s">
        <v>1</v>
      </c>
      <c r="AC16" t="str">
        <f t="shared" si="6"/>
        <v xml:space="preserve"> 0x00,</v>
      </c>
      <c r="AD16" t="str">
        <f t="shared" si="7"/>
        <v>0,</v>
      </c>
      <c r="AE16" t="str">
        <f t="shared" si="8"/>
        <v>00000000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1</v>
      </c>
      <c r="AP16">
        <v>1</v>
      </c>
      <c r="AQ16">
        <v>1</v>
      </c>
      <c r="AR16">
        <v>0</v>
      </c>
      <c r="AS16">
        <v>0</v>
      </c>
      <c r="AT16">
        <v>0</v>
      </c>
      <c r="AU16">
        <v>0</v>
      </c>
      <c r="AV16" t="str">
        <f t="shared" si="9"/>
        <v>01110000</v>
      </c>
      <c r="AW16" t="str">
        <f t="shared" si="10"/>
        <v>112,</v>
      </c>
      <c r="AX16" t="str">
        <f t="shared" si="11"/>
        <v xml:space="preserve"> 0x70,</v>
      </c>
      <c r="AY16" t="s">
        <v>0</v>
      </c>
      <c r="AZ16" t="s">
        <v>1</v>
      </c>
      <c r="BD16" t="str">
        <f t="shared" si="12"/>
        <v xml:space="preserve"> 0x00,</v>
      </c>
      <c r="BE16" t="str">
        <f t="shared" si="13"/>
        <v>0,</v>
      </c>
      <c r="BF16" t="str">
        <f t="shared" si="14"/>
        <v>00000000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0xE0,</v>
      </c>
      <c r="C17" t="str">
        <f t="shared" si="1"/>
        <v>224,</v>
      </c>
      <c r="D17" t="str">
        <f t="shared" si="2"/>
        <v>11100000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</v>
      </c>
      <c r="O17">
        <v>1</v>
      </c>
      <c r="P17">
        <v>1</v>
      </c>
      <c r="Q17">
        <v>0</v>
      </c>
      <c r="R17">
        <v>0</v>
      </c>
      <c r="S17">
        <v>0</v>
      </c>
      <c r="T17">
        <v>0</v>
      </c>
      <c r="U17" t="str">
        <f t="shared" si="3"/>
        <v>01110000</v>
      </c>
      <c r="V17" t="str">
        <f t="shared" si="4"/>
        <v>112,</v>
      </c>
      <c r="W17" t="str">
        <f t="shared" si="5"/>
        <v xml:space="preserve"> 0x70,</v>
      </c>
      <c r="X17" t="s">
        <v>0</v>
      </c>
      <c r="Y17" t="s">
        <v>1</v>
      </c>
      <c r="AC17" t="str">
        <f t="shared" si="6"/>
        <v xml:space="preserve"> 0xE0,</v>
      </c>
      <c r="AD17" t="str">
        <f t="shared" si="7"/>
        <v>224,</v>
      </c>
      <c r="AE17" t="str">
        <f t="shared" si="8"/>
        <v>11100000</v>
      </c>
      <c r="AF17">
        <v>1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1</v>
      </c>
      <c r="AP17">
        <v>1</v>
      </c>
      <c r="AQ17">
        <v>1</v>
      </c>
      <c r="AR17">
        <v>0</v>
      </c>
      <c r="AS17">
        <v>0</v>
      </c>
      <c r="AT17">
        <v>0</v>
      </c>
      <c r="AU17">
        <v>0</v>
      </c>
      <c r="AV17" t="str">
        <f t="shared" si="9"/>
        <v>01110000</v>
      </c>
      <c r="AW17" t="str">
        <f t="shared" si="10"/>
        <v>112,</v>
      </c>
      <c r="AX17" t="str">
        <f t="shared" si="11"/>
        <v xml:space="preserve"> 0x70,</v>
      </c>
      <c r="AY17" t="s">
        <v>0</v>
      </c>
      <c r="AZ17" t="s">
        <v>1</v>
      </c>
      <c r="BD17" t="str">
        <f t="shared" si="12"/>
        <v xml:space="preserve"> 0xE0,</v>
      </c>
      <c r="BE17" t="str">
        <f t="shared" si="13"/>
        <v>224,</v>
      </c>
      <c r="BF17" t="str">
        <f t="shared" si="14"/>
        <v>11100000</v>
      </c>
      <c r="BG17">
        <v>1</v>
      </c>
      <c r="BH17">
        <v>1</v>
      </c>
      <c r="BI17">
        <v>1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0xF0,</v>
      </c>
      <c r="C18" t="str">
        <f t="shared" si="1"/>
        <v>240,</v>
      </c>
      <c r="D18" t="str">
        <f t="shared" si="2"/>
        <v>11110000</v>
      </c>
      <c r="E18">
        <v>1</v>
      </c>
      <c r="F18">
        <v>1</v>
      </c>
      <c r="G18">
        <v>1</v>
      </c>
      <c r="H18">
        <v>1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0</v>
      </c>
      <c r="T18">
        <v>0</v>
      </c>
      <c r="U18" t="str">
        <f t="shared" si="3"/>
        <v>11110000</v>
      </c>
      <c r="V18" t="str">
        <f t="shared" si="4"/>
        <v>240,</v>
      </c>
      <c r="W18" t="str">
        <f t="shared" si="5"/>
        <v xml:space="preserve"> 0xF0,</v>
      </c>
      <c r="X18" t="s">
        <v>0</v>
      </c>
      <c r="Y18" t="s">
        <v>1</v>
      </c>
      <c r="AC18" t="str">
        <f t="shared" si="6"/>
        <v xml:space="preserve"> 0xF0,</v>
      </c>
      <c r="AD18" t="str">
        <f t="shared" si="7"/>
        <v>240,</v>
      </c>
      <c r="AE18" t="str">
        <f t="shared" si="8"/>
        <v>11110000</v>
      </c>
      <c r="AF18">
        <v>1</v>
      </c>
      <c r="AG18">
        <v>1</v>
      </c>
      <c r="AH18">
        <v>1</v>
      </c>
      <c r="AI18">
        <v>1</v>
      </c>
      <c r="AJ18">
        <v>0</v>
      </c>
      <c r="AK18">
        <v>0</v>
      </c>
      <c r="AL18">
        <v>0</v>
      </c>
      <c r="AM18">
        <v>0</v>
      </c>
      <c r="AN18">
        <v>1</v>
      </c>
      <c r="AO18">
        <v>1</v>
      </c>
      <c r="AP18">
        <v>1</v>
      </c>
      <c r="AQ18">
        <v>1</v>
      </c>
      <c r="AR18">
        <v>0</v>
      </c>
      <c r="AS18">
        <v>0</v>
      </c>
      <c r="AT18">
        <v>0</v>
      </c>
      <c r="AU18">
        <v>0</v>
      </c>
      <c r="AV18" t="str">
        <f t="shared" si="9"/>
        <v>11110000</v>
      </c>
      <c r="AW18" t="str">
        <f t="shared" si="10"/>
        <v>240,</v>
      </c>
      <c r="AX18" t="str">
        <f t="shared" si="11"/>
        <v xml:space="preserve"> 0xF0,</v>
      </c>
      <c r="AY18" t="s">
        <v>0</v>
      </c>
      <c r="AZ18" t="s">
        <v>1</v>
      </c>
      <c r="BD18" t="str">
        <f t="shared" si="12"/>
        <v xml:space="preserve"> 0xE0,</v>
      </c>
      <c r="BE18" t="str">
        <f t="shared" si="13"/>
        <v>224,</v>
      </c>
      <c r="BF18" t="str">
        <f t="shared" si="14"/>
        <v>11100000</v>
      </c>
      <c r="BG18">
        <v>1</v>
      </c>
      <c r="BH18">
        <v>1</v>
      </c>
      <c r="BI18">
        <v>1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0x7F,</v>
      </c>
      <c r="C19" t="str">
        <f t="shared" si="1"/>
        <v>127,</v>
      </c>
      <c r="D19" t="str">
        <f t="shared" si="2"/>
        <v>01111111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11100000</v>
      </c>
      <c r="V19" t="str">
        <f t="shared" si="4"/>
        <v>224,</v>
      </c>
      <c r="W19" t="str">
        <f t="shared" si="5"/>
        <v xml:space="preserve"> 0xE0,</v>
      </c>
      <c r="X19" t="s">
        <v>0</v>
      </c>
      <c r="Y19" t="s">
        <v>1</v>
      </c>
      <c r="AC19" t="str">
        <f t="shared" si="6"/>
        <v xml:space="preserve"> 0x7F,</v>
      </c>
      <c r="AD19" t="str">
        <f t="shared" si="7"/>
        <v>127,</v>
      </c>
      <c r="AE19" t="str">
        <f t="shared" si="8"/>
        <v>01111111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11100000</v>
      </c>
      <c r="AW19" t="str">
        <f t="shared" si="10"/>
        <v>224,</v>
      </c>
      <c r="AX19" t="str">
        <f t="shared" si="11"/>
        <v xml:space="preserve"> 0xE0,</v>
      </c>
      <c r="AY19" t="s">
        <v>0</v>
      </c>
      <c r="AZ19" t="s">
        <v>1</v>
      </c>
      <c r="BD19" t="str">
        <f t="shared" si="12"/>
        <v xml:space="preserve"> 0xE0,</v>
      </c>
      <c r="BE19" t="str">
        <f t="shared" si="13"/>
        <v>224,</v>
      </c>
      <c r="BF19" t="str">
        <f t="shared" si="14"/>
        <v>11100000</v>
      </c>
      <c r="BG19">
        <v>1</v>
      </c>
      <c r="BH19">
        <v>1</v>
      </c>
      <c r="BI19">
        <v>1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0x3F,</v>
      </c>
      <c r="C20" t="str">
        <f t="shared" si="1"/>
        <v>63,</v>
      </c>
      <c r="D20" t="str">
        <f t="shared" si="2"/>
        <v>00111111</v>
      </c>
      <c r="E20">
        <v>0</v>
      </c>
      <c r="F20">
        <v>0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11000000</v>
      </c>
      <c r="V20" t="str">
        <f t="shared" si="4"/>
        <v>192,</v>
      </c>
      <c r="W20" t="str">
        <f t="shared" si="5"/>
        <v xml:space="preserve"> 0xC0,</v>
      </c>
      <c r="X20" t="s">
        <v>0</v>
      </c>
      <c r="Y20" t="s">
        <v>1</v>
      </c>
      <c r="AC20" t="str">
        <f t="shared" si="6"/>
        <v xml:space="preserve"> 0x3F,</v>
      </c>
      <c r="AD20" t="str">
        <f t="shared" si="7"/>
        <v>63,</v>
      </c>
      <c r="AE20" t="str">
        <f t="shared" si="8"/>
        <v>00111111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11000000</v>
      </c>
      <c r="AW20" t="str">
        <f t="shared" si="10"/>
        <v>192,</v>
      </c>
      <c r="AX20" t="str">
        <f t="shared" si="11"/>
        <v xml:space="preserve"> 0xC0,</v>
      </c>
      <c r="AY20" t="s">
        <v>0</v>
      </c>
      <c r="AZ20" t="s">
        <v>1</v>
      </c>
      <c r="BD20" t="str">
        <f t="shared" si="12"/>
        <v xml:space="preserve"> 0x00,</v>
      </c>
      <c r="BE20" t="str">
        <f t="shared" si="13"/>
        <v>0,</v>
      </c>
      <c r="BF20" t="str">
        <f t="shared" si="14"/>
        <v>00000000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1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12,</v>
      </c>
      <c r="V22" t="str">
        <f>Y20&amp;DEC2HEX(U22,2)&amp;X20</f>
        <v xml:space="preserve"> 0x0C,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1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12,</v>
      </c>
      <c r="AW22" t="str">
        <f>AZ20&amp;DEC2HEX(AV22,2)&amp;AY20</f>
        <v xml:space="preserve"> 0x0C,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0</v>
      </c>
      <c r="BK22">
        <f t="shared" si="20"/>
        <v>0</v>
      </c>
      <c r="BL22">
        <f t="shared" si="20"/>
        <v>0</v>
      </c>
      <c r="BM22">
        <f t="shared" si="20"/>
        <v>0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3,</v>
      </c>
      <c r="BX22" t="str">
        <f>CA20&amp;DEC2HEX(BW22,2)&amp;BZ20</f>
        <v xml:space="preserve"> 0x03,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12,31,128,63,192,121,224,112,224,112,224,112,224,57,192,63,192,127,224,240,240,224,112,224,112,224,112,240,240,127,224,63,192,//8//56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12,63,192,127,224,240,240,224,112,224,112,224,112,240,240,127,240,63,240,0,112,0,112,0,112,224,112,240,240,127,224,63,192,//9//57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3,0,0,0,0,0,0,0,0,0,0,224,0,224,0,224,0,0,0,0,0,0,0,0,0,224,0,224,0,224,0,0,0,//://58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0x0C, 0x1F, 0x80, 0x3F, 0xC0, 0x79, 0xE0, 0x70, 0xE0, 0x70, 0xE0, 0x70, 0xE0, 0x39, 0xC0, 0x3F, 0xC0, 0x7F, 0xE0, 0xF0, 0xF0, 0xE0, 0x70, 0xE0, 0x70, 0xE0, 0x70, 0xF0, 0xF0, 0x7F, 0xE0, 0x3F, 0xC0,//8//56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0x0C, 0x3F, 0xC0, 0x7F, 0xE0, 0xF0, 0xF0, 0xE0, 0x70, 0xE0, 0x70, 0xE0, 0x70, 0xF0, 0xF0, 0x7F, 0xF0, 0x3F, 0xF0, 0x00, 0x70, 0x00, 0x70, 0x00, 0x70, 0xE0, 0x70, 0xF0, 0xF0, 0x7F, 0xE0, 0x3F, 0xC0,//9//57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0x03, 0x00, 0x00, 0x00, 0x00, 0x00, 0x00, 0x00, 0x00, 0x00, 0x00, 0xE0, 0x00, 0xE0, 0x00, 0xE0, 0x00, 0x00, 0x00, 0x00, 0x00, 0x00, 0x00, 0x00, 0x00, 0xE0, 0x00, 0xE0, 0x00, 0xE0, 0x00, 0x00, 0x00,//://58</v>
      </c>
    </row>
    <row r="28" spans="1:79">
      <c r="A28" s="1" t="str">
        <f>$B$24</f>
        <v>12,31,128,63,192,121,224,112,224,112,224,112,224,57,192,63,192,127,224,240,240,224,112,224,112,224,112,240,240,127,224,63,192,//8//56</v>
      </c>
      <c r="E28" t="s">
        <v>4</v>
      </c>
      <c r="AB28" s="1" t="str">
        <f>$AC$24</f>
        <v>12,63,192,127,224,240,240,224,112,224,112,224,112,240,240,127,240,63,240,0,112,0,112,0,112,224,112,240,240,127,224,63,192,//9//57</v>
      </c>
      <c r="AF28" t="s">
        <v>4</v>
      </c>
      <c r="BC28" s="1" t="str">
        <f>$BD$24</f>
        <v>3,0,0,0,0,0,0,0,0,0,0,224,0,224,0,224,0,0,0,0,0,0,0,0,0,224,0,224,0,224,0,0,0,//://58</v>
      </c>
      <c r="BG28" t="s">
        <v>4</v>
      </c>
    </row>
    <row r="29" spans="1:79">
      <c r="A29" s="2" t="str">
        <f>$B$25</f>
        <v xml:space="preserve"> 0x0C, 0x1F, 0x80, 0x3F, 0xC0, 0x79, 0xE0, 0x70, 0xE0, 0x70, 0xE0, 0x70, 0xE0, 0x39, 0xC0, 0x3F, 0xC0, 0x7F, 0xE0, 0xF0, 0xF0, 0xE0, 0x70, 0xE0, 0x70, 0xE0, 0x70, 0xF0, 0xF0, 0x7F, 0xE0, 0x3F, 0xC0,//8//56</v>
      </c>
      <c r="E29" t="s">
        <v>3</v>
      </c>
      <c r="AB29" s="2" t="str">
        <f>$AC$25</f>
        <v xml:space="preserve"> 0x0C, 0x3F, 0xC0, 0x7F, 0xE0, 0xF0, 0xF0, 0xE0, 0x70, 0xE0, 0x70, 0xE0, 0x70, 0xF0, 0xF0, 0x7F, 0xF0, 0x3F, 0xF0, 0x00, 0x70, 0x00, 0x70, 0x00, 0x70, 0xE0, 0x70, 0xF0, 0xF0, 0x7F, 0xE0, 0x3F, 0xC0,//9//57</v>
      </c>
      <c r="AF29" t="s">
        <v>3</v>
      </c>
      <c r="BC29" s="2" t="str">
        <f>$BD$25</f>
        <v xml:space="preserve"> 0x03, 0x00, 0x00, 0x00, 0x00, 0x00, 0x00, 0x00, 0x00, 0x00, 0x00, 0xE0, 0x00, 0xE0, 0x00, 0xE0, 0x00, 0x00, 0x00, 0x00, 0x00, 0x00, 0x00, 0x00, 0x00, 0xE0, 0x00, 0xE0, 0x00, 0xE0, 0x00, 0x00, 0x00,//://58</v>
      </c>
      <c r="BG29" t="s">
        <v>3</v>
      </c>
    </row>
  </sheetData>
  <conditionalFormatting sqref="E5:T20">
    <cfRule type="colorScale" priority="20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9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H8:L12 E5:N5 L13:L17 H13:K15 G8:G17 G20 E6:F20 M8:N17 M20:N20 K16:K17 K20">
    <cfRule type="colorScale" priority="17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20">
    <cfRule type="colorScale" priority="16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5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4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70" priority="13" operator="greaterThan">
      <formula>1</formula>
    </cfRule>
  </conditionalFormatting>
  <conditionalFormatting sqref="AH6:AO7 AH18:AO19 AI8:AM12 AF5:AO5 AM13:AM17 AI13:AL15 AH8:AH17 AH20 AF6:AG20 AN8:AO17 AN20:AO20 AL16:AL17 AL20">
    <cfRule type="colorScale" priority="12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11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10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9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69" priority="8" operator="greaterThan">
      <formula>1</formula>
    </cfRule>
  </conditionalFormatting>
  <conditionalFormatting sqref="BI6:BP7 BI18:BP19 BG5:BP5 BI8:BO17 BG6:BH20 BI20:BO20">
    <cfRule type="colorScale" priority="7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P13:BP18 BO13:BO20">
    <cfRule type="colorScale" priority="6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5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4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68" priority="3" operator="greaterThan">
      <formula>1</formula>
    </cfRule>
  </conditionalFormatting>
  <conditionalFormatting sqref="E5:T20">
    <cfRule type="cellIs" dxfId="67" priority="1" operator="equal">
      <formula>0</formula>
    </cfRule>
    <cfRule type="cellIs" dxfId="66" priority="2" operator="equal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2"/>
  <dimension ref="A4:CB29"/>
  <sheetViews>
    <sheetView workbookViewId="0">
      <selection activeCell="S32" sqref="S32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59</v>
      </c>
      <c r="Z4" t="s">
        <v>5</v>
      </c>
      <c r="AB4" s="3">
        <v>60</v>
      </c>
      <c r="BA4" t="s">
        <v>5</v>
      </c>
      <c r="BC4" s="3">
        <v>61</v>
      </c>
      <c r="CB4" t="s">
        <v>5</v>
      </c>
    </row>
    <row r="5" spans="1:80">
      <c r="A5" s="3" t="s">
        <v>231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232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6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0x03,</v>
      </c>
      <c r="AD6" t="str">
        <f t="shared" ref="AD6:AD20" si="7">BA6&amp;BIN2DEC(AE6)&amp;AY6</f>
        <v>3,</v>
      </c>
      <c r="AE6" t="str">
        <f t="shared" ref="AE6:AE20" si="8">AF6&amp;AG6&amp;AH6&amp;AI6&amp;AJ6&amp;AK6&amp;AL6&amp;AM6</f>
        <v>00000011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1</v>
      </c>
      <c r="AM6">
        <v>1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0x07,</v>
      </c>
      <c r="AD7" t="str">
        <f t="shared" si="7"/>
        <v>7,</v>
      </c>
      <c r="AE7" t="str">
        <f t="shared" si="8"/>
        <v>00000111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0x0E,</v>
      </c>
      <c r="AD8" t="str">
        <f t="shared" si="7"/>
        <v>14,</v>
      </c>
      <c r="AE8" t="str">
        <f t="shared" si="8"/>
        <v>00001110</v>
      </c>
      <c r="AF8">
        <v>0</v>
      </c>
      <c r="AG8">
        <v>0</v>
      </c>
      <c r="AH8">
        <v>0</v>
      </c>
      <c r="AI8">
        <v>0</v>
      </c>
      <c r="AJ8">
        <v>1</v>
      </c>
      <c r="AK8">
        <v>1</v>
      </c>
      <c r="AL8">
        <v>1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0x00,</v>
      </c>
      <c r="C9" t="str">
        <f t="shared" si="1"/>
        <v>0,</v>
      </c>
      <c r="D9" t="str">
        <f t="shared" si="2"/>
        <v>00000000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0x1C,</v>
      </c>
      <c r="AD9" t="str">
        <f t="shared" si="7"/>
        <v>28,</v>
      </c>
      <c r="AE9" t="str">
        <f t="shared" si="8"/>
        <v>00011100</v>
      </c>
      <c r="AF9">
        <v>0</v>
      </c>
      <c r="AG9">
        <v>0</v>
      </c>
      <c r="AH9">
        <v>0</v>
      </c>
      <c r="AI9">
        <v>1</v>
      </c>
      <c r="AJ9">
        <v>1</v>
      </c>
      <c r="AK9">
        <v>1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0xFF,</v>
      </c>
      <c r="BE9" t="str">
        <f t="shared" si="13"/>
        <v>255,</v>
      </c>
      <c r="BF9" t="str">
        <f t="shared" si="14"/>
        <v>11111111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10000000</v>
      </c>
      <c r="BX9" t="str">
        <f t="shared" si="16"/>
        <v>128,</v>
      </c>
      <c r="BY9" t="str">
        <f t="shared" si="17"/>
        <v xml:space="preserve"> 0x80,</v>
      </c>
      <c r="BZ9" t="s">
        <v>0</v>
      </c>
      <c r="CA9" t="s">
        <v>1</v>
      </c>
    </row>
    <row r="10" spans="1:80">
      <c r="B10" t="str">
        <f t="shared" si="0"/>
        <v xml:space="preserve"> 0xE0,</v>
      </c>
      <c r="C10" t="str">
        <f t="shared" si="1"/>
        <v>224,</v>
      </c>
      <c r="D10" t="str">
        <f t="shared" si="2"/>
        <v>11100000</v>
      </c>
      <c r="E10">
        <v>1</v>
      </c>
      <c r="F10">
        <v>1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0x38,</v>
      </c>
      <c r="AD10" t="str">
        <f t="shared" si="7"/>
        <v>56,</v>
      </c>
      <c r="AE10" t="str">
        <f t="shared" si="8"/>
        <v>00111000</v>
      </c>
      <c r="AF10">
        <v>0</v>
      </c>
      <c r="AG10">
        <v>0</v>
      </c>
      <c r="AH10">
        <v>1</v>
      </c>
      <c r="AI10">
        <v>1</v>
      </c>
      <c r="AJ10">
        <v>1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0xFF,</v>
      </c>
      <c r="BE10" t="str">
        <f t="shared" si="13"/>
        <v>255,</v>
      </c>
      <c r="BF10" t="str">
        <f t="shared" si="14"/>
        <v>11111111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10000000</v>
      </c>
      <c r="BX10" t="str">
        <f t="shared" si="16"/>
        <v>128,</v>
      </c>
      <c r="BY10" t="str">
        <f t="shared" si="17"/>
        <v xml:space="preserve"> 0x80,</v>
      </c>
      <c r="BZ10" t="s">
        <v>0</v>
      </c>
      <c r="CA10" t="s">
        <v>1</v>
      </c>
    </row>
    <row r="11" spans="1:80">
      <c r="B11" t="str">
        <f t="shared" si="0"/>
        <v xml:space="preserve"> 0xE0,</v>
      </c>
      <c r="C11" t="str">
        <f t="shared" si="1"/>
        <v>224,</v>
      </c>
      <c r="D11" t="str">
        <f t="shared" si="2"/>
        <v>11100000</v>
      </c>
      <c r="E11">
        <v>1</v>
      </c>
      <c r="F11">
        <v>1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0x70,</v>
      </c>
      <c r="AD11" t="str">
        <f t="shared" si="7"/>
        <v>112,</v>
      </c>
      <c r="AE11" t="str">
        <f t="shared" si="8"/>
        <v>01110000</v>
      </c>
      <c r="AF11">
        <v>0</v>
      </c>
      <c r="AG11">
        <v>1</v>
      </c>
      <c r="AH11">
        <v>1</v>
      </c>
      <c r="AI11">
        <v>1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0x00,</v>
      </c>
      <c r="BE11" t="str">
        <f t="shared" si="13"/>
        <v>0,</v>
      </c>
      <c r="BF11" t="str">
        <f t="shared" si="14"/>
        <v>00000000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0xE0,</v>
      </c>
      <c r="C12" t="str">
        <f t="shared" si="1"/>
        <v>224,</v>
      </c>
      <c r="D12" t="str">
        <f t="shared" si="2"/>
        <v>11100000</v>
      </c>
      <c r="E12">
        <v>1</v>
      </c>
      <c r="F12">
        <v>1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0xE0,</v>
      </c>
      <c r="AD12" t="str">
        <f t="shared" si="7"/>
        <v>224,</v>
      </c>
      <c r="AE12" t="str">
        <f t="shared" si="8"/>
        <v>11100000</v>
      </c>
      <c r="AF12">
        <v>1</v>
      </c>
      <c r="AG12">
        <v>1</v>
      </c>
      <c r="AH12">
        <v>1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0x00,</v>
      </c>
      <c r="BE12" t="str">
        <f t="shared" si="13"/>
        <v>0,</v>
      </c>
      <c r="BF12" t="str">
        <f t="shared" si="14"/>
        <v>00000000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0x00,</v>
      </c>
      <c r="C13" t="str">
        <f t="shared" si="1"/>
        <v>0,</v>
      </c>
      <c r="D13" t="str">
        <f t="shared" si="2"/>
        <v>00000000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0xE0,</v>
      </c>
      <c r="AD13" t="str">
        <f t="shared" si="7"/>
        <v>224,</v>
      </c>
      <c r="AE13" t="str">
        <f t="shared" si="8"/>
        <v>11100000</v>
      </c>
      <c r="AF13">
        <v>1</v>
      </c>
      <c r="AG13">
        <v>1</v>
      </c>
      <c r="AH13">
        <v>1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0x00,</v>
      </c>
      <c r="BE13" t="str">
        <f t="shared" si="13"/>
        <v>0,</v>
      </c>
      <c r="BF13" t="str">
        <f t="shared" si="14"/>
        <v>00000000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0x00,</v>
      </c>
      <c r="C14" t="str">
        <f t="shared" si="1"/>
        <v>0,</v>
      </c>
      <c r="D14" t="str">
        <f t="shared" si="2"/>
        <v>00000000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0x70,</v>
      </c>
      <c r="AD14" t="str">
        <f t="shared" si="7"/>
        <v>112,</v>
      </c>
      <c r="AE14" t="str">
        <f t="shared" si="8"/>
        <v>01110000</v>
      </c>
      <c r="AF14">
        <v>0</v>
      </c>
      <c r="AG14">
        <v>1</v>
      </c>
      <c r="AH14">
        <v>1</v>
      </c>
      <c r="AI14">
        <v>1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0x00,</v>
      </c>
      <c r="BE14" t="str">
        <f t="shared" si="13"/>
        <v>0,</v>
      </c>
      <c r="BF14" t="str">
        <f t="shared" si="14"/>
        <v>00000000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0x00,</v>
      </c>
      <c r="C15" t="str">
        <f t="shared" si="1"/>
        <v>0,</v>
      </c>
      <c r="D15" t="str">
        <f t="shared" si="2"/>
        <v>00000000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0x38,</v>
      </c>
      <c r="AD15" t="str">
        <f t="shared" si="7"/>
        <v>56,</v>
      </c>
      <c r="AE15" t="str">
        <f t="shared" si="8"/>
        <v>00111000</v>
      </c>
      <c r="AF15">
        <v>0</v>
      </c>
      <c r="AG15">
        <v>0</v>
      </c>
      <c r="AH15">
        <v>1</v>
      </c>
      <c r="AI15">
        <v>1</v>
      </c>
      <c r="AJ15">
        <v>1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0xFF,</v>
      </c>
      <c r="BE15" t="str">
        <f t="shared" si="13"/>
        <v>255,</v>
      </c>
      <c r="BF15" t="str">
        <f t="shared" si="14"/>
        <v>11111111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10000000</v>
      </c>
      <c r="BX15" t="str">
        <f t="shared" si="16"/>
        <v>128,</v>
      </c>
      <c r="BY15" t="str">
        <f t="shared" si="17"/>
        <v xml:space="preserve"> 0x80,</v>
      </c>
      <c r="BZ15" t="s">
        <v>0</v>
      </c>
      <c r="CA15" t="s">
        <v>1</v>
      </c>
    </row>
    <row r="16" spans="1:80">
      <c r="B16" t="str">
        <f t="shared" si="0"/>
        <v xml:space="preserve"> 0x00,</v>
      </c>
      <c r="C16" t="str">
        <f t="shared" si="1"/>
        <v>0,</v>
      </c>
      <c r="D16" t="str">
        <f t="shared" si="2"/>
        <v>00000000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0x1C,</v>
      </c>
      <c r="AD16" t="str">
        <f t="shared" si="7"/>
        <v>28,</v>
      </c>
      <c r="AE16" t="str">
        <f t="shared" si="8"/>
        <v>00011100</v>
      </c>
      <c r="AF16">
        <v>0</v>
      </c>
      <c r="AG16">
        <v>0</v>
      </c>
      <c r="AH16">
        <v>0</v>
      </c>
      <c r="AI16">
        <v>1</v>
      </c>
      <c r="AJ16">
        <v>1</v>
      </c>
      <c r="AK16">
        <v>1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0xFF,</v>
      </c>
      <c r="BE16" t="str">
        <f t="shared" si="13"/>
        <v>255,</v>
      </c>
      <c r="BF16" t="str">
        <f t="shared" si="14"/>
        <v>11111111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10000000</v>
      </c>
      <c r="BX16" t="str">
        <f t="shared" si="16"/>
        <v>128,</v>
      </c>
      <c r="BY16" t="str">
        <f t="shared" si="17"/>
        <v xml:space="preserve"> 0x80,</v>
      </c>
      <c r="BZ16" t="s">
        <v>0</v>
      </c>
      <c r="CA16" t="s">
        <v>1</v>
      </c>
    </row>
    <row r="17" spans="1:79">
      <c r="B17" t="str">
        <f t="shared" si="0"/>
        <v xml:space="preserve"> 0xE0,</v>
      </c>
      <c r="C17" t="str">
        <f t="shared" si="1"/>
        <v>224,</v>
      </c>
      <c r="D17" t="str">
        <f t="shared" si="2"/>
        <v>11100000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0x0E,</v>
      </c>
      <c r="AD17" t="str">
        <f t="shared" si="7"/>
        <v>14,</v>
      </c>
      <c r="AE17" t="str">
        <f t="shared" si="8"/>
        <v>00001110</v>
      </c>
      <c r="AF17">
        <v>0</v>
      </c>
      <c r="AG17">
        <v>0</v>
      </c>
      <c r="AH17">
        <v>0</v>
      </c>
      <c r="AI17">
        <v>0</v>
      </c>
      <c r="AJ17">
        <v>1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0x00,</v>
      </c>
      <c r="BE17" t="str">
        <f t="shared" si="13"/>
        <v>0,</v>
      </c>
      <c r="BF17" t="str">
        <f t="shared" si="14"/>
        <v>00000000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0xE0,</v>
      </c>
      <c r="C18" t="str">
        <f t="shared" si="1"/>
        <v>224,</v>
      </c>
      <c r="D18" t="str">
        <f t="shared" si="2"/>
        <v>11100000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0x07,</v>
      </c>
      <c r="AD18" t="str">
        <f t="shared" si="7"/>
        <v>7,</v>
      </c>
      <c r="AE18" t="str">
        <f t="shared" si="8"/>
        <v>00000111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1</v>
      </c>
      <c r="AL18">
        <v>1</v>
      </c>
      <c r="AM18">
        <v>1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0x00,</v>
      </c>
      <c r="BE18" t="str">
        <f t="shared" si="13"/>
        <v>0,</v>
      </c>
      <c r="BF18" t="str">
        <f t="shared" si="14"/>
        <v>00000000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0x60,</v>
      </c>
      <c r="C19" t="str">
        <f t="shared" si="1"/>
        <v>96,</v>
      </c>
      <c r="D19" t="str">
        <f t="shared" si="2"/>
        <v>01100000</v>
      </c>
      <c r="E19">
        <v>0</v>
      </c>
      <c r="F19">
        <v>1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0x03,</v>
      </c>
      <c r="AD19" t="str">
        <f t="shared" si="7"/>
        <v>3,</v>
      </c>
      <c r="AE19" t="str">
        <f t="shared" si="8"/>
        <v>00000011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1</v>
      </c>
      <c r="AM19">
        <v>1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0x00,</v>
      </c>
      <c r="BE19" t="str">
        <f t="shared" si="13"/>
        <v>0,</v>
      </c>
      <c r="BF19" t="str">
        <f t="shared" si="14"/>
        <v>00000000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0xE0,</v>
      </c>
      <c r="C20" t="str">
        <f t="shared" si="1"/>
        <v>224,</v>
      </c>
      <c r="D20" t="str">
        <f t="shared" si="2"/>
        <v>11100000</v>
      </c>
      <c r="E20">
        <v>1</v>
      </c>
      <c r="F20">
        <v>1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0x00,</v>
      </c>
      <c r="AD20" t="str">
        <f t="shared" si="7"/>
        <v>0,</v>
      </c>
      <c r="AE20" t="str">
        <f t="shared" si="8"/>
        <v>00000000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0x00,</v>
      </c>
      <c r="BE20" t="str">
        <f t="shared" si="13"/>
        <v>0,</v>
      </c>
      <c r="BF20" t="str">
        <f t="shared" si="14"/>
        <v>00000000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0</v>
      </c>
      <c r="I22">
        <f t="shared" si="18"/>
        <v>0</v>
      </c>
      <c r="J22">
        <f t="shared" si="18"/>
        <v>0</v>
      </c>
      <c r="K22">
        <f t="shared" si="18"/>
        <v>0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3,</v>
      </c>
      <c r="V22" t="str">
        <f>Y20&amp;DEC2HEX(U22,2)&amp;X20</f>
        <v xml:space="preserve"> 0x03,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8,</v>
      </c>
      <c r="AW22" t="str">
        <f>AZ20&amp;DEC2HEX(AV22,2)&amp;AY20</f>
        <v xml:space="preserve"> 0x08,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9,</v>
      </c>
      <c r="BX22" t="str">
        <f>CA20&amp;DEC2HEX(BW22,2)&amp;BZ20</f>
        <v xml:space="preserve"> 0x09,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3,0,0,0,0,0,0,0,0,0,0,224,0,224,0,224,0,0,0,0,0,0,0,0,0,224,0,224,0,96,0,224,0,//;//59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8,0,0,3,0,7,0,14,0,28,0,56,0,112,0,224,0,224,0,112,0,56,0,28,0,14,0,7,0,3,0,0,0,//&lt;//60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9,0,0,0,0,0,0,0,0,255,128,255,128,0,0,0,0,0,0,0,0,255,128,255,128,0,0,0,0,0,0,0,0,//Н//61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0x03, 0x00, 0x00, 0x00, 0x00, 0x00, 0x00, 0x00, 0x00, 0x00, 0x00, 0xE0, 0x00, 0xE0, 0x00, 0xE0, 0x00, 0x00, 0x00, 0x00, 0x00, 0x00, 0x00, 0x00, 0x00, 0xE0, 0x00, 0xE0, 0x00, 0x60, 0x00, 0xE0, 0x00,//;//59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0x08, 0x00, 0x00, 0x03, 0x00, 0x07, 0x00, 0x0E, 0x00, 0x1C, 0x00, 0x38, 0x00, 0x70, 0x00, 0xE0, 0x00, 0xE0, 0x00, 0x70, 0x00, 0x38, 0x00, 0x1C, 0x00, 0x0E, 0x00, 0x07, 0x00, 0x03, 0x00, 0x00, 0x00,//&lt;//60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0x09, 0x00, 0x00, 0x00, 0x00, 0x00, 0x00, 0x00, 0x00, 0xFF, 0x80, 0xFF, 0x80, 0x00, 0x00, 0x00, 0x00, 0x00, 0x00, 0x00, 0x00, 0xFF, 0x80, 0xFF, 0x80, 0x00, 0x00, 0x00, 0x00, 0x00, 0x00, 0x00, 0x00,//Н//61</v>
      </c>
    </row>
    <row r="28" spans="1:79">
      <c r="A28" s="1" t="str">
        <f>$B$24</f>
        <v>3,0,0,0,0,0,0,0,0,0,0,224,0,224,0,224,0,0,0,0,0,0,0,0,0,224,0,224,0,96,0,224,0,//;//59</v>
      </c>
      <c r="E28" t="s">
        <v>4</v>
      </c>
      <c r="AB28" s="1" t="str">
        <f>$AC$24</f>
        <v>8,0,0,3,0,7,0,14,0,28,0,56,0,112,0,224,0,224,0,112,0,56,0,28,0,14,0,7,0,3,0,0,0,//&lt;//60</v>
      </c>
      <c r="AF28" t="s">
        <v>4</v>
      </c>
      <c r="BC28" s="1" t="str">
        <f>$BD$24</f>
        <v>9,0,0,0,0,0,0,0,0,255,128,255,128,0,0,0,0,0,0,0,0,255,128,255,128,0,0,0,0,0,0,0,0,//Н//61</v>
      </c>
      <c r="BG28" t="s">
        <v>4</v>
      </c>
    </row>
    <row r="29" spans="1:79">
      <c r="A29" s="2" t="str">
        <f>$B$25</f>
        <v xml:space="preserve"> 0x03, 0x00, 0x00, 0x00, 0x00, 0x00, 0x00, 0x00, 0x00, 0x00, 0x00, 0xE0, 0x00, 0xE0, 0x00, 0xE0, 0x00, 0x00, 0x00, 0x00, 0x00, 0x00, 0x00, 0x00, 0x00, 0xE0, 0x00, 0xE0, 0x00, 0x60, 0x00, 0xE0, 0x00,//;//59</v>
      </c>
      <c r="E29" t="s">
        <v>3</v>
      </c>
      <c r="AB29" s="2" t="str">
        <f>$AC$25</f>
        <v xml:space="preserve"> 0x08, 0x00, 0x00, 0x03, 0x00, 0x07, 0x00, 0x0E, 0x00, 0x1C, 0x00, 0x38, 0x00, 0x70, 0x00, 0xE0, 0x00, 0xE0, 0x00, 0x70, 0x00, 0x38, 0x00, 0x1C, 0x00, 0x0E, 0x00, 0x07, 0x00, 0x03, 0x00, 0x00, 0x00,//&lt;//60</v>
      </c>
      <c r="AF29" t="s">
        <v>3</v>
      </c>
      <c r="BC29" s="2" t="str">
        <f>$BD$25</f>
        <v xml:space="preserve"> 0x09, 0x00, 0x00, 0x00, 0x00, 0x00, 0x00, 0x00, 0x00, 0xFF, 0x80, 0xFF, 0x80, 0x00, 0x00, 0x00, 0x00, 0x00, 0x00, 0x00, 0x00, 0xFF, 0x80, 0xFF, 0x80, 0x00, 0x00, 0x00, 0x00, 0x00, 0x00, 0x00, 0x00,//Н//61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18:N19 G8:G17 H8:L12 E5:N5 L13:L17 H13:H16 I13:K15 M8:N17 M20:N20 K16:K17 K20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20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65" priority="11" operator="greaterThan">
      <formula>1</formula>
    </cfRule>
  </conditionalFormatting>
  <conditionalFormatting sqref="AF5:AO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64" priority="6" operator="greaterThan">
      <formula>1</formula>
    </cfRule>
  </conditionalFormatting>
  <conditionalFormatting sqref="BI6:BP7 BI18:BP19 BJ8:BN12 BG5:BP5 BJ13:BM15 BI8:BI17 BI20 BG6:BH20 BL16:BM17 BN13:BN17 BO8:BP17 BL20:BP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63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3"/>
  <dimension ref="A4:CB29"/>
  <sheetViews>
    <sheetView workbookViewId="0">
      <selection activeCell="N32" sqref="N32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62</v>
      </c>
      <c r="Z4" t="s">
        <v>5</v>
      </c>
      <c r="AB4" s="3">
        <v>63</v>
      </c>
      <c r="BA4" t="s">
        <v>5</v>
      </c>
      <c r="BC4" s="3">
        <v>64</v>
      </c>
      <c r="CB4" t="s">
        <v>5</v>
      </c>
    </row>
    <row r="5" spans="1:80">
      <c r="A5" s="3" t="s">
        <v>233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234</v>
      </c>
      <c r="AC5" t="str">
        <f>BA5&amp;AZ5&amp;BIN2HEX(AE5,2)&amp;AY5</f>
        <v xml:space="preserve"> 0x3F,</v>
      </c>
      <c r="AD5" t="str">
        <f>BA5&amp;BIN2DEC(AE5)&amp;AY5</f>
        <v>63,</v>
      </c>
      <c r="AE5" t="str">
        <f>AF5&amp;AG5&amp;AH5&amp;AI5&amp;AJ5&amp;AK5&amp;AL5&amp;AM5</f>
        <v>00111111</v>
      </c>
      <c r="AF5">
        <v>0</v>
      </c>
      <c r="AG5">
        <v>0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10000000</v>
      </c>
      <c r="AW5" t="str">
        <f>BA5&amp;BIN2DEC(AV5)&amp;AY5</f>
        <v>128,</v>
      </c>
      <c r="AX5" t="str">
        <f>BA5&amp;AZ5&amp;BIN2HEX(AV5,2)&amp;AY5</f>
        <v xml:space="preserve"> 0x80,</v>
      </c>
      <c r="AY5" t="s">
        <v>0</v>
      </c>
      <c r="AZ5" t="s">
        <v>1</v>
      </c>
      <c r="BC5" s="3" t="s">
        <v>235</v>
      </c>
      <c r="BD5" t="str">
        <f>CB5&amp;CA5&amp;BIN2HEX(BF5,2)&amp;BZ5</f>
        <v xml:space="preserve"> 0x3F,</v>
      </c>
      <c r="BE5" t="str">
        <f>CB5&amp;BIN2DEC(BF5)&amp;BZ5</f>
        <v>63,</v>
      </c>
      <c r="BF5" t="str">
        <f>BG5&amp;BH5&amp;BI5&amp;BJ5&amp;BK5&amp;BL5&amp;BM5&amp;BN5</f>
        <v>00111111</v>
      </c>
      <c r="BG5">
        <v>0</v>
      </c>
      <c r="BH5">
        <v>0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11000000</v>
      </c>
      <c r="BX5" t="str">
        <f>CB5&amp;BIN2DEC(BW5)&amp;BZ5</f>
        <v>192,</v>
      </c>
      <c r="BY5" t="str">
        <f>CB5&amp;CA5&amp;BIN2HEX(BW5,2)&amp;BZ5</f>
        <v xml:space="preserve"> 0xC0,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0xC0,</v>
      </c>
      <c r="C6" t="str">
        <f t="shared" ref="C6:C20" si="1">Z6&amp;BIN2DEC(D6)&amp;X6</f>
        <v>192,</v>
      </c>
      <c r="D6" t="str">
        <f t="shared" ref="D6:D20" si="2">E6&amp;F6&amp;G6&amp;H6&amp;I6&amp;J6&amp;K6&amp;L6</f>
        <v>11000000</v>
      </c>
      <c r="E6">
        <v>1</v>
      </c>
      <c r="F6">
        <v>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0x7F,</v>
      </c>
      <c r="AD6" t="str">
        <f t="shared" ref="AD6:AD20" si="7">BA6&amp;BIN2DEC(AE6)&amp;AY6</f>
        <v>127,</v>
      </c>
      <c r="AE6" t="str">
        <f t="shared" ref="AE6:AE20" si="8">AF6&amp;AG6&amp;AH6&amp;AI6&amp;AJ6&amp;AK6&amp;AL6&amp;AM6</f>
        <v>01111111</v>
      </c>
      <c r="AF6">
        <v>0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11000000</v>
      </c>
      <c r="AW6" t="str">
        <f t="shared" ref="AW6:AW20" si="10">BA6&amp;BIN2DEC(AV6)&amp;AY6</f>
        <v>192,</v>
      </c>
      <c r="AX6" t="str">
        <f t="shared" ref="AX6:AX20" si="11">BA6&amp;AZ6&amp;BIN2HEX(AV6,2)&amp;AY6</f>
        <v xml:space="preserve"> 0xC0,</v>
      </c>
      <c r="AY6" t="s">
        <v>0</v>
      </c>
      <c r="AZ6" t="s">
        <v>1</v>
      </c>
      <c r="BD6" t="str">
        <f t="shared" ref="BD6:BD20" si="12">CB6&amp;CA6&amp;BIN2HEX(BF6,2)&amp;BZ6</f>
        <v xml:space="preserve"> 0x7F,</v>
      </c>
      <c r="BE6" t="str">
        <f t="shared" ref="BE6:BE20" si="13">CB6&amp;BIN2DEC(BF6)&amp;BZ6</f>
        <v>127,</v>
      </c>
      <c r="BF6" t="str">
        <f t="shared" ref="BF6:BF20" si="14">BG6&amp;BH6&amp;BI6&amp;BJ6&amp;BK6&amp;BL6&amp;BM6&amp;BN6</f>
        <v>01111111</v>
      </c>
      <c r="BG6">
        <v>0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11100000</v>
      </c>
      <c r="BX6" t="str">
        <f t="shared" ref="BX6:BX20" si="16">CB6&amp;BIN2DEC(BW6)&amp;BZ6</f>
        <v>224,</v>
      </c>
      <c r="BY6" t="str">
        <f t="shared" ref="BY6:BY20" si="17">CB6&amp;CA6&amp;BIN2HEX(BW6,2)&amp;BZ6</f>
        <v xml:space="preserve"> 0xE0,</v>
      </c>
      <c r="BZ6" t="s">
        <v>0</v>
      </c>
      <c r="CA6" t="s">
        <v>1</v>
      </c>
    </row>
    <row r="7" spans="1:80">
      <c r="B7" t="str">
        <f t="shared" si="0"/>
        <v xml:space="preserve"> 0xE0,</v>
      </c>
      <c r="C7" t="str">
        <f t="shared" si="1"/>
        <v>224,</v>
      </c>
      <c r="D7" t="str">
        <f t="shared" si="2"/>
        <v>11100000</v>
      </c>
      <c r="E7">
        <v>1</v>
      </c>
      <c r="F7">
        <v>1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0xF1,</v>
      </c>
      <c r="AD7" t="str">
        <f t="shared" si="7"/>
        <v>241,</v>
      </c>
      <c r="AE7" t="str">
        <f t="shared" si="8"/>
        <v>11110001</v>
      </c>
      <c r="AF7">
        <v>1</v>
      </c>
      <c r="AG7">
        <v>1</v>
      </c>
      <c r="AH7">
        <v>1</v>
      </c>
      <c r="AI7">
        <v>1</v>
      </c>
      <c r="AJ7">
        <v>0</v>
      </c>
      <c r="AK7">
        <v>0</v>
      </c>
      <c r="AL7">
        <v>0</v>
      </c>
      <c r="AM7">
        <v>1</v>
      </c>
      <c r="AN7">
        <v>1</v>
      </c>
      <c r="AO7">
        <v>1</v>
      </c>
      <c r="AP7">
        <v>1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11100000</v>
      </c>
      <c r="AW7" t="str">
        <f t="shared" si="10"/>
        <v>224,</v>
      </c>
      <c r="AX7" t="str">
        <f t="shared" si="11"/>
        <v xml:space="preserve"> 0xE0,</v>
      </c>
      <c r="AY7" t="s">
        <v>0</v>
      </c>
      <c r="AZ7" t="s">
        <v>1</v>
      </c>
      <c r="BD7" t="str">
        <f t="shared" si="12"/>
        <v xml:space="preserve"> 0xF0,</v>
      </c>
      <c r="BE7" t="str">
        <f t="shared" si="13"/>
        <v>240,</v>
      </c>
      <c r="BF7" t="str">
        <f t="shared" si="14"/>
        <v>11110000</v>
      </c>
      <c r="BG7">
        <v>1</v>
      </c>
      <c r="BH7">
        <v>1</v>
      </c>
      <c r="BI7">
        <v>1</v>
      </c>
      <c r="BJ7">
        <v>1</v>
      </c>
      <c r="BK7">
        <v>0</v>
      </c>
      <c r="BL7">
        <v>0</v>
      </c>
      <c r="BM7">
        <v>0</v>
      </c>
      <c r="BN7">
        <v>0</v>
      </c>
      <c r="BO7">
        <v>1</v>
      </c>
      <c r="BP7">
        <v>1</v>
      </c>
      <c r="BQ7">
        <v>1</v>
      </c>
      <c r="BR7">
        <v>1</v>
      </c>
      <c r="BS7">
        <v>0</v>
      </c>
      <c r="BT7">
        <v>0</v>
      </c>
      <c r="BU7">
        <v>0</v>
      </c>
      <c r="BV7">
        <v>0</v>
      </c>
      <c r="BW7" t="str">
        <f t="shared" si="15"/>
        <v>11110000</v>
      </c>
      <c r="BX7" t="str">
        <f t="shared" si="16"/>
        <v>240,</v>
      </c>
      <c r="BY7" t="str">
        <f t="shared" si="17"/>
        <v xml:space="preserve"> 0xF0,</v>
      </c>
      <c r="BZ7" t="s">
        <v>0</v>
      </c>
      <c r="CA7" t="s">
        <v>1</v>
      </c>
    </row>
    <row r="8" spans="1:80">
      <c r="B8" t="str">
        <f t="shared" si="0"/>
        <v xml:space="preserve"> 0x70,</v>
      </c>
      <c r="C8" t="str">
        <f t="shared" si="1"/>
        <v>112,</v>
      </c>
      <c r="D8" t="str">
        <f t="shared" si="2"/>
        <v>01110000</v>
      </c>
      <c r="E8">
        <v>0</v>
      </c>
      <c r="F8">
        <v>1</v>
      </c>
      <c r="G8">
        <v>1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0xE0,</v>
      </c>
      <c r="AD8" t="str">
        <f t="shared" si="7"/>
        <v>224,</v>
      </c>
      <c r="AE8" t="str">
        <f t="shared" si="8"/>
        <v>11100000</v>
      </c>
      <c r="AF8">
        <v>1</v>
      </c>
      <c r="AG8">
        <v>1</v>
      </c>
      <c r="AH8">
        <v>1</v>
      </c>
      <c r="AI8">
        <v>0</v>
      </c>
      <c r="AJ8">
        <v>0</v>
      </c>
      <c r="AK8">
        <v>0</v>
      </c>
      <c r="AL8">
        <v>0</v>
      </c>
      <c r="AM8">
        <v>0</v>
      </c>
      <c r="AN8">
        <v>1</v>
      </c>
      <c r="AO8">
        <v>1</v>
      </c>
      <c r="AP8">
        <v>1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11100000</v>
      </c>
      <c r="AW8" t="str">
        <f t="shared" si="10"/>
        <v>224,</v>
      </c>
      <c r="AX8" t="str">
        <f t="shared" si="11"/>
        <v xml:space="preserve"> 0xE0,</v>
      </c>
      <c r="AY8" t="s">
        <v>0</v>
      </c>
      <c r="AZ8" t="s">
        <v>1</v>
      </c>
      <c r="BD8" t="str">
        <f t="shared" si="12"/>
        <v xml:space="preserve"> 0xE0,</v>
      </c>
      <c r="BE8" t="str">
        <f t="shared" si="13"/>
        <v>224,</v>
      </c>
      <c r="BF8" t="str">
        <f t="shared" si="14"/>
        <v>11100000</v>
      </c>
      <c r="BG8">
        <v>1</v>
      </c>
      <c r="BH8">
        <v>1</v>
      </c>
      <c r="BI8">
        <v>1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1</v>
      </c>
      <c r="BQ8">
        <v>1</v>
      </c>
      <c r="BR8">
        <v>1</v>
      </c>
      <c r="BS8">
        <v>0</v>
      </c>
      <c r="BT8">
        <v>0</v>
      </c>
      <c r="BU8">
        <v>0</v>
      </c>
      <c r="BV8">
        <v>0</v>
      </c>
      <c r="BW8" t="str">
        <f t="shared" si="15"/>
        <v>01110000</v>
      </c>
      <c r="BX8" t="str">
        <f t="shared" si="16"/>
        <v>112,</v>
      </c>
      <c r="BY8" t="str">
        <f t="shared" si="17"/>
        <v xml:space="preserve"> 0x70,</v>
      </c>
      <c r="BZ8" t="s">
        <v>0</v>
      </c>
      <c r="CA8" t="s">
        <v>1</v>
      </c>
    </row>
    <row r="9" spans="1:80">
      <c r="B9" t="str">
        <f t="shared" si="0"/>
        <v xml:space="preserve"> 0x38,</v>
      </c>
      <c r="C9" t="str">
        <f t="shared" si="1"/>
        <v>56,</v>
      </c>
      <c r="D9" t="str">
        <f t="shared" si="2"/>
        <v>00111000</v>
      </c>
      <c r="E9">
        <v>0</v>
      </c>
      <c r="F9">
        <v>0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0xE0,</v>
      </c>
      <c r="AD9" t="str">
        <f t="shared" si="7"/>
        <v>224,</v>
      </c>
      <c r="AE9" t="str">
        <f t="shared" si="8"/>
        <v>11100000</v>
      </c>
      <c r="AF9">
        <v>1</v>
      </c>
      <c r="AG9">
        <v>1</v>
      </c>
      <c r="AH9">
        <v>1</v>
      </c>
      <c r="AI9">
        <v>0</v>
      </c>
      <c r="AJ9">
        <v>0</v>
      </c>
      <c r="AK9">
        <v>0</v>
      </c>
      <c r="AL9">
        <v>0</v>
      </c>
      <c r="AM9">
        <v>0</v>
      </c>
      <c r="AN9">
        <v>1</v>
      </c>
      <c r="AO9">
        <v>1</v>
      </c>
      <c r="AP9">
        <v>1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11100000</v>
      </c>
      <c r="AW9" t="str">
        <f t="shared" si="10"/>
        <v>224,</v>
      </c>
      <c r="AX9" t="str">
        <f t="shared" si="11"/>
        <v xml:space="preserve"> 0xE0,</v>
      </c>
      <c r="AY9" t="s">
        <v>0</v>
      </c>
      <c r="AZ9" t="s">
        <v>1</v>
      </c>
      <c r="BD9" t="str">
        <f t="shared" si="12"/>
        <v xml:space="preserve"> 0xE0,</v>
      </c>
      <c r="BE9" t="str">
        <f t="shared" si="13"/>
        <v>224,</v>
      </c>
      <c r="BF9" t="str">
        <f t="shared" si="14"/>
        <v>11100000</v>
      </c>
      <c r="BG9">
        <v>1</v>
      </c>
      <c r="BH9">
        <v>1</v>
      </c>
      <c r="BI9">
        <v>1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1</v>
      </c>
      <c r="BQ9">
        <v>1</v>
      </c>
      <c r="BR9">
        <v>1</v>
      </c>
      <c r="BS9">
        <v>0</v>
      </c>
      <c r="BT9">
        <v>0</v>
      </c>
      <c r="BU9">
        <v>0</v>
      </c>
      <c r="BV9">
        <v>0</v>
      </c>
      <c r="BW9" t="str">
        <f t="shared" si="15"/>
        <v>01110000</v>
      </c>
      <c r="BX9" t="str">
        <f t="shared" si="16"/>
        <v>112,</v>
      </c>
      <c r="BY9" t="str">
        <f t="shared" si="17"/>
        <v xml:space="preserve"> 0x70,</v>
      </c>
      <c r="BZ9" t="s">
        <v>0</v>
      </c>
      <c r="CA9" t="s">
        <v>1</v>
      </c>
    </row>
    <row r="10" spans="1:80">
      <c r="B10" t="str">
        <f t="shared" si="0"/>
        <v xml:space="preserve"> 0x1C,</v>
      </c>
      <c r="C10" t="str">
        <f t="shared" si="1"/>
        <v>28,</v>
      </c>
      <c r="D10" t="str">
        <f t="shared" si="2"/>
        <v>00011100</v>
      </c>
      <c r="E10">
        <v>0</v>
      </c>
      <c r="F10">
        <v>0</v>
      </c>
      <c r="G10">
        <v>0</v>
      </c>
      <c r="H10">
        <v>1</v>
      </c>
      <c r="I10">
        <v>1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0x01,</v>
      </c>
      <c r="AD10" t="str">
        <f t="shared" si="7"/>
        <v>1,</v>
      </c>
      <c r="AE10" t="str">
        <f t="shared" si="8"/>
        <v>00000001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11100000</v>
      </c>
      <c r="AW10" t="str">
        <f t="shared" si="10"/>
        <v>224,</v>
      </c>
      <c r="AX10" t="str">
        <f t="shared" si="11"/>
        <v xml:space="preserve"> 0xE0,</v>
      </c>
      <c r="AY10" t="s">
        <v>0</v>
      </c>
      <c r="AZ10" t="s">
        <v>1</v>
      </c>
      <c r="BD10" t="str">
        <f t="shared" si="12"/>
        <v xml:space="preserve"> 0xE5,</v>
      </c>
      <c r="BE10" t="str">
        <f t="shared" si="13"/>
        <v>229,</v>
      </c>
      <c r="BF10" t="str">
        <f t="shared" si="14"/>
        <v>11100101</v>
      </c>
      <c r="BG10">
        <v>1</v>
      </c>
      <c r="BH10">
        <v>1</v>
      </c>
      <c r="BI10">
        <v>1</v>
      </c>
      <c r="BJ10">
        <v>0</v>
      </c>
      <c r="BK10">
        <v>0</v>
      </c>
      <c r="BL10">
        <v>1</v>
      </c>
      <c r="BM10">
        <v>0</v>
      </c>
      <c r="BN10">
        <v>1</v>
      </c>
      <c r="BO10">
        <v>0</v>
      </c>
      <c r="BP10">
        <v>1</v>
      </c>
      <c r="BQ10">
        <v>1</v>
      </c>
      <c r="BR10">
        <v>1</v>
      </c>
      <c r="BS10">
        <v>0</v>
      </c>
      <c r="BT10">
        <v>0</v>
      </c>
      <c r="BU10">
        <v>0</v>
      </c>
      <c r="BV10">
        <v>0</v>
      </c>
      <c r="BW10" t="str">
        <f t="shared" si="15"/>
        <v>01110000</v>
      </c>
      <c r="BX10" t="str">
        <f t="shared" si="16"/>
        <v>112,</v>
      </c>
      <c r="BY10" t="str">
        <f t="shared" si="17"/>
        <v xml:space="preserve"> 0x70,</v>
      </c>
      <c r="BZ10" t="s">
        <v>0</v>
      </c>
      <c r="CA10" t="s">
        <v>1</v>
      </c>
    </row>
    <row r="11" spans="1:80">
      <c r="B11" t="str">
        <f t="shared" si="0"/>
        <v xml:space="preserve"> 0x0E,</v>
      </c>
      <c r="C11" t="str">
        <f t="shared" si="1"/>
        <v>14,</v>
      </c>
      <c r="D11" t="str">
        <f t="shared" si="2"/>
        <v>00001110</v>
      </c>
      <c r="E11">
        <v>0</v>
      </c>
      <c r="F11">
        <v>0</v>
      </c>
      <c r="G11">
        <v>0</v>
      </c>
      <c r="H11">
        <v>0</v>
      </c>
      <c r="I11">
        <v>1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0x03,</v>
      </c>
      <c r="AD11" t="str">
        <f t="shared" si="7"/>
        <v>3,</v>
      </c>
      <c r="AE11" t="str">
        <f t="shared" si="8"/>
        <v>00000011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1</v>
      </c>
      <c r="AM11">
        <v>1</v>
      </c>
      <c r="AN11">
        <v>1</v>
      </c>
      <c r="AO11">
        <v>1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11000000</v>
      </c>
      <c r="AW11" t="str">
        <f t="shared" si="10"/>
        <v>192,</v>
      </c>
      <c r="AX11" t="str">
        <f t="shared" si="11"/>
        <v xml:space="preserve"> 0xC0,</v>
      </c>
      <c r="AY11" t="s">
        <v>0</v>
      </c>
      <c r="AZ11" t="s">
        <v>1</v>
      </c>
      <c r="BD11" t="str">
        <f t="shared" si="12"/>
        <v xml:space="preserve"> 0xEF,</v>
      </c>
      <c r="BE11" t="str">
        <f t="shared" si="13"/>
        <v>239,</v>
      </c>
      <c r="BF11" t="str">
        <f t="shared" si="14"/>
        <v>11101111</v>
      </c>
      <c r="BG11">
        <v>1</v>
      </c>
      <c r="BH11">
        <v>1</v>
      </c>
      <c r="BI11">
        <v>1</v>
      </c>
      <c r="BJ11">
        <v>0</v>
      </c>
      <c r="BK11">
        <v>1</v>
      </c>
      <c r="BL11">
        <v>1</v>
      </c>
      <c r="BM11">
        <v>1</v>
      </c>
      <c r="BN11">
        <v>1</v>
      </c>
      <c r="BO11">
        <v>0</v>
      </c>
      <c r="BP11">
        <v>1</v>
      </c>
      <c r="BQ11">
        <v>1</v>
      </c>
      <c r="BR11">
        <v>1</v>
      </c>
      <c r="BS11">
        <v>0</v>
      </c>
      <c r="BT11">
        <v>0</v>
      </c>
      <c r="BU11">
        <v>0</v>
      </c>
      <c r="BV11">
        <v>0</v>
      </c>
      <c r="BW11" t="str">
        <f t="shared" si="15"/>
        <v>01110000</v>
      </c>
      <c r="BX11" t="str">
        <f t="shared" si="16"/>
        <v>112,</v>
      </c>
      <c r="BY11" t="str">
        <f t="shared" si="17"/>
        <v xml:space="preserve"> 0x70,</v>
      </c>
      <c r="BZ11" t="s">
        <v>0</v>
      </c>
      <c r="CA11" t="s">
        <v>1</v>
      </c>
    </row>
    <row r="12" spans="1:80">
      <c r="B12" t="str">
        <f t="shared" si="0"/>
        <v xml:space="preserve"> 0x07,</v>
      </c>
      <c r="C12" t="str">
        <f t="shared" si="1"/>
        <v>7,</v>
      </c>
      <c r="D12" t="str">
        <f t="shared" si="2"/>
        <v>00000111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0x07,</v>
      </c>
      <c r="AD12" t="str">
        <f t="shared" si="7"/>
        <v>7,</v>
      </c>
      <c r="AE12" t="str">
        <f t="shared" si="8"/>
        <v>00000111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10000000</v>
      </c>
      <c r="AW12" t="str">
        <f t="shared" si="10"/>
        <v>128,</v>
      </c>
      <c r="AX12" t="str">
        <f t="shared" si="11"/>
        <v xml:space="preserve"> 0x80,</v>
      </c>
      <c r="AY12" t="s">
        <v>0</v>
      </c>
      <c r="AZ12" t="s">
        <v>1</v>
      </c>
      <c r="BD12" t="str">
        <f t="shared" si="12"/>
        <v xml:space="preserve"> 0xEB,</v>
      </c>
      <c r="BE12" t="str">
        <f t="shared" si="13"/>
        <v>235,</v>
      </c>
      <c r="BF12" t="str">
        <f t="shared" si="14"/>
        <v>11101011</v>
      </c>
      <c r="BG12">
        <v>1</v>
      </c>
      <c r="BH12">
        <v>1</v>
      </c>
      <c r="BI12">
        <v>1</v>
      </c>
      <c r="BJ12">
        <v>0</v>
      </c>
      <c r="BK12">
        <v>1</v>
      </c>
      <c r="BL12">
        <v>0</v>
      </c>
      <c r="BM12">
        <v>1</v>
      </c>
      <c r="BN12">
        <v>1</v>
      </c>
      <c r="BO12">
        <v>0</v>
      </c>
      <c r="BP12">
        <v>1</v>
      </c>
      <c r="BQ12">
        <v>1</v>
      </c>
      <c r="BR12">
        <v>1</v>
      </c>
      <c r="BS12">
        <v>0</v>
      </c>
      <c r="BT12">
        <v>0</v>
      </c>
      <c r="BU12">
        <v>0</v>
      </c>
      <c r="BV12">
        <v>0</v>
      </c>
      <c r="BW12" t="str">
        <f t="shared" si="15"/>
        <v>01110000</v>
      </c>
      <c r="BX12" t="str">
        <f t="shared" si="16"/>
        <v>112,</v>
      </c>
      <c r="BY12" t="str">
        <f t="shared" si="17"/>
        <v xml:space="preserve"> 0x70,</v>
      </c>
      <c r="BZ12" t="s">
        <v>0</v>
      </c>
      <c r="CA12" t="s">
        <v>1</v>
      </c>
    </row>
    <row r="13" spans="1:80">
      <c r="B13" t="str">
        <f t="shared" si="0"/>
        <v xml:space="preserve"> 0x07,</v>
      </c>
      <c r="C13" t="str">
        <f t="shared" si="1"/>
        <v>7,</v>
      </c>
      <c r="D13" t="str">
        <f t="shared" si="2"/>
        <v>00000111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0x0F,</v>
      </c>
      <c r="AD13" t="str">
        <f t="shared" si="7"/>
        <v>15,</v>
      </c>
      <c r="AE13" t="str">
        <f t="shared" si="8"/>
        <v>00001111</v>
      </c>
      <c r="AF13">
        <v>0</v>
      </c>
      <c r="AG13">
        <v>0</v>
      </c>
      <c r="AH13">
        <v>0</v>
      </c>
      <c r="AI13">
        <v>0</v>
      </c>
      <c r="AJ13">
        <v>1</v>
      </c>
      <c r="AK13">
        <v>1</v>
      </c>
      <c r="AL13">
        <v>1</v>
      </c>
      <c r="AM13">
        <v>1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0xEB,</v>
      </c>
      <c r="BE13" t="str">
        <f t="shared" si="13"/>
        <v>235,</v>
      </c>
      <c r="BF13" t="str">
        <f t="shared" si="14"/>
        <v>11101011</v>
      </c>
      <c r="BG13">
        <v>1</v>
      </c>
      <c r="BH13">
        <v>1</v>
      </c>
      <c r="BI13">
        <v>1</v>
      </c>
      <c r="BJ13">
        <v>0</v>
      </c>
      <c r="BK13">
        <v>1</v>
      </c>
      <c r="BL13">
        <v>0</v>
      </c>
      <c r="BM13">
        <v>1</v>
      </c>
      <c r="BN13">
        <v>1</v>
      </c>
      <c r="BO13">
        <v>0</v>
      </c>
      <c r="BP13">
        <v>1</v>
      </c>
      <c r="BQ13">
        <v>1</v>
      </c>
      <c r="BR13">
        <v>1</v>
      </c>
      <c r="BS13">
        <v>0</v>
      </c>
      <c r="BT13">
        <v>0</v>
      </c>
      <c r="BU13">
        <v>0</v>
      </c>
      <c r="BV13">
        <v>0</v>
      </c>
      <c r="BW13" t="str">
        <f t="shared" si="15"/>
        <v>01110000</v>
      </c>
      <c r="BX13" t="str">
        <f t="shared" si="16"/>
        <v>112,</v>
      </c>
      <c r="BY13" t="str">
        <f t="shared" si="17"/>
        <v xml:space="preserve"> 0x70,</v>
      </c>
      <c r="BZ13" t="s">
        <v>0</v>
      </c>
      <c r="CA13" t="s">
        <v>1</v>
      </c>
    </row>
    <row r="14" spans="1:80">
      <c r="B14" t="str">
        <f t="shared" si="0"/>
        <v xml:space="preserve"> 0x0E,</v>
      </c>
      <c r="C14" t="str">
        <f t="shared" si="1"/>
        <v>14,</v>
      </c>
      <c r="D14" t="str">
        <f t="shared" si="2"/>
        <v>00001110</v>
      </c>
      <c r="E14">
        <v>0</v>
      </c>
      <c r="F14">
        <v>0</v>
      </c>
      <c r="G14">
        <v>0</v>
      </c>
      <c r="H14">
        <v>0</v>
      </c>
      <c r="I14">
        <v>1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0x0E,</v>
      </c>
      <c r="AD14" t="str">
        <f t="shared" si="7"/>
        <v>14,</v>
      </c>
      <c r="AE14" t="str">
        <f t="shared" si="8"/>
        <v>00001110</v>
      </c>
      <c r="AF14">
        <v>0</v>
      </c>
      <c r="AG14">
        <v>0</v>
      </c>
      <c r="AH14">
        <v>0</v>
      </c>
      <c r="AI14">
        <v>0</v>
      </c>
      <c r="AJ14">
        <v>1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0xEF,</v>
      </c>
      <c r="BE14" t="str">
        <f t="shared" si="13"/>
        <v>239,</v>
      </c>
      <c r="BF14" t="str">
        <f t="shared" si="14"/>
        <v>11101111</v>
      </c>
      <c r="BG14">
        <v>1</v>
      </c>
      <c r="BH14">
        <v>1</v>
      </c>
      <c r="BI14">
        <v>1</v>
      </c>
      <c r="BJ14">
        <v>0</v>
      </c>
      <c r="BK14">
        <v>1</v>
      </c>
      <c r="BL14">
        <v>1</v>
      </c>
      <c r="BM14">
        <v>1</v>
      </c>
      <c r="BN14">
        <v>1</v>
      </c>
      <c r="BO14">
        <v>1</v>
      </c>
      <c r="BP14">
        <v>1</v>
      </c>
      <c r="BQ14">
        <v>1</v>
      </c>
      <c r="BR14">
        <v>1</v>
      </c>
      <c r="BS14">
        <v>0</v>
      </c>
      <c r="BT14">
        <v>0</v>
      </c>
      <c r="BU14">
        <v>0</v>
      </c>
      <c r="BV14">
        <v>0</v>
      </c>
      <c r="BW14" t="str">
        <f t="shared" si="15"/>
        <v>11110000</v>
      </c>
      <c r="BX14" t="str">
        <f t="shared" si="16"/>
        <v>240,</v>
      </c>
      <c r="BY14" t="str">
        <f t="shared" si="17"/>
        <v xml:space="preserve"> 0xF0,</v>
      </c>
      <c r="BZ14" t="s">
        <v>0</v>
      </c>
      <c r="CA14" t="s">
        <v>1</v>
      </c>
    </row>
    <row r="15" spans="1:80">
      <c r="B15" t="str">
        <f t="shared" si="0"/>
        <v xml:space="preserve"> 0x1C,</v>
      </c>
      <c r="C15" t="str">
        <f t="shared" si="1"/>
        <v>28,</v>
      </c>
      <c r="D15" t="str">
        <f t="shared" si="2"/>
        <v>00011100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0x0E,</v>
      </c>
      <c r="AD15" t="str">
        <f t="shared" si="7"/>
        <v>14,</v>
      </c>
      <c r="AE15" t="str">
        <f t="shared" si="8"/>
        <v>00001110</v>
      </c>
      <c r="AF15">
        <v>0</v>
      </c>
      <c r="AG15">
        <v>0</v>
      </c>
      <c r="AH15">
        <v>0</v>
      </c>
      <c r="AI15">
        <v>0</v>
      </c>
      <c r="AJ15">
        <v>1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0xEF,</v>
      </c>
      <c r="BE15" t="str">
        <f t="shared" si="13"/>
        <v>239,</v>
      </c>
      <c r="BF15" t="str">
        <f t="shared" si="14"/>
        <v>11101111</v>
      </c>
      <c r="BG15">
        <v>1</v>
      </c>
      <c r="BH15">
        <v>1</v>
      </c>
      <c r="BI15">
        <v>1</v>
      </c>
      <c r="BJ15">
        <v>0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11100000</v>
      </c>
      <c r="BX15" t="str">
        <f t="shared" si="16"/>
        <v>224,</v>
      </c>
      <c r="BY15" t="str">
        <f t="shared" si="17"/>
        <v xml:space="preserve"> 0xE0,</v>
      </c>
      <c r="BZ15" t="s">
        <v>0</v>
      </c>
      <c r="CA15" t="s">
        <v>1</v>
      </c>
    </row>
    <row r="16" spans="1:80">
      <c r="B16" t="str">
        <f t="shared" si="0"/>
        <v xml:space="preserve"> 0x38,</v>
      </c>
      <c r="C16" t="str">
        <f t="shared" si="1"/>
        <v>56,</v>
      </c>
      <c r="D16" t="str">
        <f t="shared" si="2"/>
        <v>00111000</v>
      </c>
      <c r="E16">
        <v>0</v>
      </c>
      <c r="F16">
        <v>0</v>
      </c>
      <c r="G16">
        <v>1</v>
      </c>
      <c r="H16">
        <v>1</v>
      </c>
      <c r="I16">
        <v>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0x00,</v>
      </c>
      <c r="AD16" t="str">
        <f t="shared" si="7"/>
        <v>0,</v>
      </c>
      <c r="AE16" t="str">
        <f t="shared" si="8"/>
        <v>00000000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0xE7,</v>
      </c>
      <c r="BE16" t="str">
        <f t="shared" si="13"/>
        <v>231,</v>
      </c>
      <c r="BF16" t="str">
        <f t="shared" si="14"/>
        <v>11100111</v>
      </c>
      <c r="BG16">
        <v>1</v>
      </c>
      <c r="BH16">
        <v>1</v>
      </c>
      <c r="BI16">
        <v>1</v>
      </c>
      <c r="BJ16">
        <v>0</v>
      </c>
      <c r="BK16">
        <v>0</v>
      </c>
      <c r="BL16">
        <v>1</v>
      </c>
      <c r="BM16">
        <v>1</v>
      </c>
      <c r="BN16">
        <v>1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10000000</v>
      </c>
      <c r="BX16" t="str">
        <f t="shared" si="16"/>
        <v>128,</v>
      </c>
      <c r="BY16" t="str">
        <f t="shared" si="17"/>
        <v xml:space="preserve"> 0x80,</v>
      </c>
      <c r="BZ16" t="s">
        <v>0</v>
      </c>
      <c r="CA16" t="s">
        <v>1</v>
      </c>
    </row>
    <row r="17" spans="1:79">
      <c r="B17" t="str">
        <f t="shared" si="0"/>
        <v xml:space="preserve"> 0x70,</v>
      </c>
      <c r="C17" t="str">
        <f t="shared" si="1"/>
        <v>112,</v>
      </c>
      <c r="D17" t="str">
        <f t="shared" si="2"/>
        <v>01110000</v>
      </c>
      <c r="E17">
        <v>0</v>
      </c>
      <c r="F17">
        <v>1</v>
      </c>
      <c r="G17">
        <v>1</v>
      </c>
      <c r="H17">
        <v>1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0x00,</v>
      </c>
      <c r="AD17" t="str">
        <f t="shared" si="7"/>
        <v>0,</v>
      </c>
      <c r="AE17" t="str">
        <f t="shared" si="8"/>
        <v>00000000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0xE0,</v>
      </c>
      <c r="BE17" t="str">
        <f t="shared" si="13"/>
        <v>224,</v>
      </c>
      <c r="BF17" t="str">
        <f t="shared" si="14"/>
        <v>11100000</v>
      </c>
      <c r="BG17">
        <v>1</v>
      </c>
      <c r="BH17">
        <v>1</v>
      </c>
      <c r="BI17">
        <v>1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0xE0,</v>
      </c>
      <c r="C18" t="str">
        <f t="shared" si="1"/>
        <v>224,</v>
      </c>
      <c r="D18" t="str">
        <f t="shared" si="2"/>
        <v>11100000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0x0E,</v>
      </c>
      <c r="AD18" t="str">
        <f t="shared" si="7"/>
        <v>14,</v>
      </c>
      <c r="AE18" t="str">
        <f t="shared" si="8"/>
        <v>00001110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0xF0,</v>
      </c>
      <c r="BE18" t="str">
        <f t="shared" si="13"/>
        <v>240,</v>
      </c>
      <c r="BF18" t="str">
        <f t="shared" si="14"/>
        <v>11110000</v>
      </c>
      <c r="BG18">
        <v>1</v>
      </c>
      <c r="BH18">
        <v>1</v>
      </c>
      <c r="BI18">
        <v>1</v>
      </c>
      <c r="BJ18">
        <v>1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1</v>
      </c>
      <c r="BQ18">
        <v>1</v>
      </c>
      <c r="BR18">
        <v>1</v>
      </c>
      <c r="BS18">
        <v>0</v>
      </c>
      <c r="BT18">
        <v>0</v>
      </c>
      <c r="BU18">
        <v>0</v>
      </c>
      <c r="BV18">
        <v>0</v>
      </c>
      <c r="BW18" t="str">
        <f t="shared" si="15"/>
        <v>01110000</v>
      </c>
      <c r="BX18" t="str">
        <f t="shared" si="16"/>
        <v>112,</v>
      </c>
      <c r="BY18" t="str">
        <f t="shared" si="17"/>
        <v xml:space="preserve"> 0x70,</v>
      </c>
      <c r="BZ18" t="s">
        <v>0</v>
      </c>
      <c r="CA18" t="s">
        <v>1</v>
      </c>
    </row>
    <row r="19" spans="1:79">
      <c r="B19" t="str">
        <f t="shared" si="0"/>
        <v xml:space="preserve"> 0xC0,</v>
      </c>
      <c r="C19" t="str">
        <f t="shared" si="1"/>
        <v>192,</v>
      </c>
      <c r="D19" t="str">
        <f t="shared" si="2"/>
        <v>11000000</v>
      </c>
      <c r="E19">
        <v>1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0x0E,</v>
      </c>
      <c r="AD19" t="str">
        <f t="shared" si="7"/>
        <v>14,</v>
      </c>
      <c r="AE19" t="str">
        <f t="shared" si="8"/>
        <v>00001110</v>
      </c>
      <c r="AF19">
        <v>0</v>
      </c>
      <c r="AG19">
        <v>0</v>
      </c>
      <c r="AH19">
        <v>0</v>
      </c>
      <c r="AI19">
        <v>0</v>
      </c>
      <c r="AJ19">
        <v>1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0x7F,</v>
      </c>
      <c r="BE19" t="str">
        <f t="shared" si="13"/>
        <v>127,</v>
      </c>
      <c r="BF19" t="str">
        <f t="shared" si="14"/>
        <v>01111111</v>
      </c>
      <c r="BG19">
        <v>0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11100000</v>
      </c>
      <c r="BX19" t="str">
        <f t="shared" si="16"/>
        <v>224,</v>
      </c>
      <c r="BY19" t="str">
        <f t="shared" si="17"/>
        <v xml:space="preserve"> 0xE0,</v>
      </c>
      <c r="BZ19" t="s">
        <v>0</v>
      </c>
      <c r="CA19" t="s">
        <v>1</v>
      </c>
    </row>
    <row r="20" spans="1:79">
      <c r="B20" t="str">
        <f t="shared" si="0"/>
        <v xml:space="preserve"> 0x00,</v>
      </c>
      <c r="C20" t="str">
        <f t="shared" si="1"/>
        <v>0,</v>
      </c>
      <c r="D20" t="str">
        <f t="shared" si="2"/>
        <v>00000000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0x0E,</v>
      </c>
      <c r="AD20" t="str">
        <f t="shared" si="7"/>
        <v>14,</v>
      </c>
      <c r="AE20" t="str">
        <f t="shared" si="8"/>
        <v>00001110</v>
      </c>
      <c r="AF20">
        <v>0</v>
      </c>
      <c r="AG20">
        <v>0</v>
      </c>
      <c r="AH20">
        <v>0</v>
      </c>
      <c r="AI20">
        <v>0</v>
      </c>
      <c r="AJ20">
        <v>1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0x3F,</v>
      </c>
      <c r="BE20" t="str">
        <f t="shared" si="13"/>
        <v>63,</v>
      </c>
      <c r="BF20" t="str">
        <f t="shared" si="14"/>
        <v>00111111</v>
      </c>
      <c r="BG20">
        <v>0</v>
      </c>
      <c r="BH20">
        <v>0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11000000</v>
      </c>
      <c r="BX20" t="str">
        <f t="shared" si="16"/>
        <v>192,</v>
      </c>
      <c r="BY20" t="str">
        <f t="shared" si="17"/>
        <v xml:space="preserve"> 0xC0,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8,</v>
      </c>
      <c r="V22" t="str">
        <f>Y20&amp;DEC2HEX(U22,2)&amp;X20</f>
        <v xml:space="preserve"> 0x08,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11,</v>
      </c>
      <c r="AW22" t="str">
        <f>AZ20&amp;DEC2HEX(AV22,2)&amp;AY20</f>
        <v xml:space="preserve"> 0x0B,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1</v>
      </c>
      <c r="BR22">
        <f t="shared" si="20"/>
        <v>1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12,</v>
      </c>
      <c r="BX22" t="str">
        <f>CA20&amp;DEC2HEX(BW22,2)&amp;BZ20</f>
        <v xml:space="preserve"> 0x0C,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8,0,0,192,0,224,0,112,0,56,0,28,0,14,0,7,0,7,0,14,0,28,0,56,0,112,0,224,0,192,0,0,0,//&gt;//62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11,63,128,127,192,241,224,224,224,224,224,1,224,3,192,7,128,15,0,14,0,14,0,0,0,0,0,14,0,14,0,14,0,//?//63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12,63,192,127,224,240,240,224,112,224,112,229,112,239,112,235,112,235,112,239,240,239,224,231,128,224,0,240,112,127,224,63,192,//@//64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0x08, 0x00, 0x00, 0xC0, 0x00, 0xE0, 0x00, 0x70, 0x00, 0x38, 0x00, 0x1C, 0x00, 0x0E, 0x00, 0x07, 0x00, 0x07, 0x00, 0x0E, 0x00, 0x1C, 0x00, 0x38, 0x00, 0x70, 0x00, 0xE0, 0x00, 0xC0, 0x00, 0x00, 0x00,//&gt;//62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0x0B, 0x3F, 0x80, 0x7F, 0xC0, 0xF1, 0xE0, 0xE0, 0xE0, 0xE0, 0xE0, 0x01, 0xE0, 0x03, 0xC0, 0x07, 0x80, 0x0F, 0x00, 0x0E, 0x00, 0x0E, 0x00, 0x00, 0x00, 0x00, 0x00, 0x0E, 0x00, 0x0E, 0x00, 0x0E, 0x00,//?//63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0x0C, 0x3F, 0xC0, 0x7F, 0xE0, 0xF0, 0xF0, 0xE0, 0x70, 0xE0, 0x70, 0xE5, 0x70, 0xEF, 0x70, 0xEB, 0x70, 0xEB, 0x70, 0xEF, 0xF0, 0xEF, 0xE0, 0xE7, 0x80, 0xE0, 0x00, 0xF0, 0x70, 0x7F, 0xE0, 0x3F, 0xC0,//@//64</v>
      </c>
    </row>
    <row r="28" spans="1:79">
      <c r="A28" s="1" t="str">
        <f>$B$24</f>
        <v>8,0,0,192,0,224,0,112,0,56,0,28,0,14,0,7,0,7,0,14,0,28,0,56,0,112,0,224,0,192,0,0,0,//&gt;//62</v>
      </c>
      <c r="E28" t="s">
        <v>4</v>
      </c>
      <c r="AB28" s="1" t="str">
        <f>$AC$24</f>
        <v>11,63,128,127,192,241,224,224,224,224,224,1,224,3,192,7,128,15,0,14,0,14,0,0,0,0,0,14,0,14,0,14,0,//?//63</v>
      </c>
      <c r="AF28" t="s">
        <v>4</v>
      </c>
      <c r="BC28" s="1" t="str">
        <f>$BD$24</f>
        <v>12,63,192,127,224,240,240,224,112,224,112,229,112,239,112,235,112,235,112,239,240,239,224,231,128,224,0,240,112,127,224,63,192,//@//64</v>
      </c>
      <c r="BG28" t="s">
        <v>4</v>
      </c>
    </row>
    <row r="29" spans="1:79">
      <c r="A29" s="2" t="str">
        <f>$B$25</f>
        <v xml:space="preserve"> 0x08, 0x00, 0x00, 0xC0, 0x00, 0xE0, 0x00, 0x70, 0x00, 0x38, 0x00, 0x1C, 0x00, 0x0E, 0x00, 0x07, 0x00, 0x07, 0x00, 0x0E, 0x00, 0x1C, 0x00, 0x38, 0x00, 0x70, 0x00, 0xE0, 0x00, 0xC0, 0x00, 0x00, 0x00,//&gt;//62</v>
      </c>
      <c r="E29" t="s">
        <v>3</v>
      </c>
      <c r="AB29" s="2" t="str">
        <f>$AC$25</f>
        <v xml:space="preserve"> 0x0B, 0x3F, 0x80, 0x7F, 0xC0, 0xF1, 0xE0, 0xE0, 0xE0, 0xE0, 0xE0, 0x01, 0xE0, 0x03, 0xC0, 0x07, 0x80, 0x0F, 0x00, 0x0E, 0x00, 0x0E, 0x00, 0x00, 0x00, 0x00, 0x00, 0x0E, 0x00, 0x0E, 0x00, 0x0E, 0x00,//?//63</v>
      </c>
      <c r="AF29" t="s">
        <v>3</v>
      </c>
      <c r="BC29" s="2" t="str">
        <f>$BD$25</f>
        <v xml:space="preserve"> 0x0C, 0x3F, 0xC0, 0x7F, 0xE0, 0xF0, 0xF0, 0xE0, 0x70, 0xE0, 0x70, 0xE5, 0x70, 0xEF, 0x70, 0xEB, 0x70, 0xEB, 0x70, 0xEF, 0xF0, 0xEF, 0xE0, 0xE7, 0x80, 0xE0, 0x00, 0xF0, 0x70, 0x7F, 0xE0, 0x3F, 0xC0,//@//64</v>
      </c>
      <c r="BG29" t="s">
        <v>3</v>
      </c>
    </row>
  </sheetData>
  <conditionalFormatting sqref="E5:T20">
    <cfRule type="colorScale" priority="20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9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18:N19 E5:N5 H8:K13 G8:G17 K14:K16 J14:J17 L8:N17">
    <cfRule type="colorScale" priority="17">
      <colorScale>
        <cfvo type="num" val="0"/>
        <cfvo type="num" val="1"/>
        <color theme="3" tint="0.79998168889431442"/>
        <color rgb="FFFF0000"/>
      </colorScale>
    </cfRule>
  </conditionalFormatting>
  <conditionalFormatting sqref="M5:T12 N13:N17 M13:M18">
    <cfRule type="colorScale" priority="16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5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4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62" priority="13" operator="greaterThan">
      <formula>1</formula>
    </cfRule>
  </conditionalFormatting>
  <conditionalFormatting sqref="AH18:AO19 AF5:AO5 AI13:AL15 AF6:AG20 AH6:AO7 AH8:AH17 AH20 AI8:AO12 AM13:AO17 AK16:AL17 AK20:AO20">
    <cfRule type="colorScale" priority="12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11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10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9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61" priority="8" operator="greaterThan">
      <formula>1</formula>
    </cfRule>
  </conditionalFormatting>
  <conditionalFormatting sqref="BG6:BH20 BI6:BP7 BI18:BP19 BG5:BP5 BP8:BP12 BI8:BI17 BI20 BO8:BO17 BJ8:BN14 BN15:BN17 BN20">
    <cfRule type="colorScale" priority="7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P13:BP18 BO13:BO19">
    <cfRule type="colorScale" priority="6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5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4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60" priority="3" operator="greaterThan">
      <formula>1</formula>
    </cfRule>
  </conditionalFormatting>
  <conditionalFormatting sqref="E5:T20">
    <cfRule type="cellIs" dxfId="59" priority="1" operator="equal">
      <formula>0</formula>
    </cfRule>
    <cfRule type="cellIs" dxfId="58" priority="2" operator="equal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4"/>
  <dimension ref="A4:CB29"/>
  <sheetViews>
    <sheetView workbookViewId="0">
      <selection activeCell="K29" sqref="K29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65</v>
      </c>
      <c r="Z4" t="s">
        <v>5</v>
      </c>
      <c r="AB4" s="3">
        <v>66</v>
      </c>
      <c r="BA4" t="s">
        <v>5</v>
      </c>
      <c r="BC4" s="3">
        <v>67</v>
      </c>
      <c r="CB4" t="s">
        <v>5</v>
      </c>
    </row>
    <row r="5" spans="1:80">
      <c r="A5" s="3" t="s">
        <v>228</v>
      </c>
      <c r="B5" t="str">
        <f>Z5&amp;Y5&amp;BIN2HEX(D5,2)&amp;X5</f>
        <v xml:space="preserve"> 0x3F,</v>
      </c>
      <c r="C5" t="str">
        <f>Z5&amp;BIN2DEC(D5)&amp;X5</f>
        <v>63,</v>
      </c>
      <c r="D5" t="str">
        <f>E5&amp;F5&amp;G5&amp;H5&amp;I5&amp;J5&amp;K5&amp;L5</f>
        <v>00111111</v>
      </c>
      <c r="E5">
        <v>0</v>
      </c>
      <c r="F5">
        <v>0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11000000</v>
      </c>
      <c r="V5" t="str">
        <f>Z5&amp;BIN2DEC(U5)&amp;X5</f>
        <v>192,</v>
      </c>
      <c r="W5" t="str">
        <f>Z5&amp;Y5&amp;BIN2HEX(U5,2)&amp;X5</f>
        <v xml:space="preserve"> 0xC0,</v>
      </c>
      <c r="X5" t="s">
        <v>0</v>
      </c>
      <c r="Y5" t="s">
        <v>1</v>
      </c>
      <c r="AB5" s="3" t="s">
        <v>236</v>
      </c>
      <c r="AC5" t="str">
        <f>BA5&amp;AZ5&amp;BIN2HEX(AE5,2)&amp;AY5</f>
        <v xml:space="preserve"> 0xFF,</v>
      </c>
      <c r="AD5" t="str">
        <f>BA5&amp;BIN2DEC(AE5)&amp;AY5</f>
        <v>255,</v>
      </c>
      <c r="AE5" t="str">
        <f>AF5&amp;AG5&amp;AH5&amp;AI5&amp;AJ5&amp;AK5&amp;AL5&amp;AM5</f>
        <v>11111111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10000000</v>
      </c>
      <c r="AW5" t="str">
        <f>BA5&amp;BIN2DEC(AV5)&amp;AY5</f>
        <v>128,</v>
      </c>
      <c r="AX5" t="str">
        <f>BA5&amp;AZ5&amp;BIN2HEX(AV5,2)&amp;AY5</f>
        <v xml:space="preserve"> 0x80,</v>
      </c>
      <c r="AY5" t="s">
        <v>0</v>
      </c>
      <c r="AZ5" t="s">
        <v>1</v>
      </c>
      <c r="BC5" s="3" t="s">
        <v>237</v>
      </c>
      <c r="BD5" t="str">
        <f>CB5&amp;CA5&amp;BIN2HEX(BF5,2)&amp;BZ5</f>
        <v xml:space="preserve"> 0x3F,</v>
      </c>
      <c r="BE5" t="str">
        <f>CB5&amp;BIN2DEC(BF5)&amp;BZ5</f>
        <v>63,</v>
      </c>
      <c r="BF5" t="str">
        <f>BG5&amp;BH5&amp;BI5&amp;BJ5&amp;BK5&amp;BL5&amp;BM5&amp;BN5</f>
        <v>00111111</v>
      </c>
      <c r="BG5">
        <v>0</v>
      </c>
      <c r="BH5">
        <v>0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11000000</v>
      </c>
      <c r="BX5" t="str">
        <f>CB5&amp;BIN2DEC(BW5)&amp;BZ5</f>
        <v>192,</v>
      </c>
      <c r="BY5" t="str">
        <f>CB5&amp;CA5&amp;BIN2HEX(BW5,2)&amp;BZ5</f>
        <v xml:space="preserve"> 0xC0,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0x7F,</v>
      </c>
      <c r="C6" t="str">
        <f t="shared" ref="C6:C20" si="1">Z6&amp;BIN2DEC(D6)&amp;X6</f>
        <v>127,</v>
      </c>
      <c r="D6" t="str">
        <f t="shared" ref="D6:D20" si="2">E6&amp;F6&amp;G6&amp;H6&amp;I6&amp;J6&amp;K6&amp;L6</f>
        <v>01111111</v>
      </c>
      <c r="E6">
        <v>0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11100000</v>
      </c>
      <c r="V6" t="str">
        <f t="shared" ref="V6:V20" si="4">Z6&amp;BIN2DEC(U6)&amp;X6</f>
        <v>224,</v>
      </c>
      <c r="W6" t="str">
        <f t="shared" ref="W6:W20" si="5">Z6&amp;Y6&amp;BIN2HEX(U6,2)&amp;X6</f>
        <v xml:space="preserve"> 0xE0,</v>
      </c>
      <c r="X6" t="s">
        <v>0</v>
      </c>
      <c r="Y6" t="s">
        <v>1</v>
      </c>
      <c r="AC6" t="str">
        <f t="shared" ref="AC6:AC20" si="6">BA6&amp;AZ6&amp;BIN2HEX(AE6,2)&amp;AY6</f>
        <v xml:space="preserve"> 0xFF,</v>
      </c>
      <c r="AD6" t="str">
        <f t="shared" ref="AD6:AD20" si="7">BA6&amp;BIN2DEC(AE6)&amp;AY6</f>
        <v>255,</v>
      </c>
      <c r="AE6" t="str">
        <f t="shared" ref="AE6:AE20" si="8">AF6&amp;AG6&amp;AH6&amp;AI6&amp;AJ6&amp;AK6&amp;AL6&amp;AM6</f>
        <v>11111111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11000000</v>
      </c>
      <c r="AW6" t="str">
        <f t="shared" ref="AW6:AW20" si="10">BA6&amp;BIN2DEC(AV6)&amp;AY6</f>
        <v>192,</v>
      </c>
      <c r="AX6" t="str">
        <f t="shared" ref="AX6:AX20" si="11">BA6&amp;AZ6&amp;BIN2HEX(AV6,2)&amp;AY6</f>
        <v xml:space="preserve"> 0xC0,</v>
      </c>
      <c r="AY6" t="s">
        <v>0</v>
      </c>
      <c r="AZ6" t="s">
        <v>1</v>
      </c>
      <c r="BD6" t="str">
        <f t="shared" ref="BD6:BD20" si="12">CB6&amp;CA6&amp;BIN2HEX(BF6,2)&amp;BZ6</f>
        <v xml:space="preserve"> 0x7F,</v>
      </c>
      <c r="BE6" t="str">
        <f t="shared" ref="BE6:BE20" si="13">CB6&amp;BIN2DEC(BF6)&amp;BZ6</f>
        <v>127,</v>
      </c>
      <c r="BF6" t="str">
        <f t="shared" ref="BF6:BF20" si="14">BG6&amp;BH6&amp;BI6&amp;BJ6&amp;BK6&amp;BL6&amp;BM6&amp;BN6</f>
        <v>01111111</v>
      </c>
      <c r="BG6">
        <v>0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11100000</v>
      </c>
      <c r="BX6" t="str">
        <f t="shared" ref="BX6:BX20" si="16">CB6&amp;BIN2DEC(BW6)&amp;BZ6</f>
        <v>224,</v>
      </c>
      <c r="BY6" t="str">
        <f t="shared" ref="BY6:BY20" si="17">CB6&amp;CA6&amp;BIN2HEX(BW6,2)&amp;BZ6</f>
        <v xml:space="preserve"> 0xE0,</v>
      </c>
      <c r="BZ6" t="s">
        <v>0</v>
      </c>
      <c r="CA6" t="s">
        <v>1</v>
      </c>
    </row>
    <row r="7" spans="1:80">
      <c r="B7" t="str">
        <f t="shared" si="0"/>
        <v xml:space="preserve"> 0xE0,</v>
      </c>
      <c r="C7" t="str">
        <f t="shared" si="1"/>
        <v>224,</v>
      </c>
      <c r="D7" t="str">
        <f t="shared" si="2"/>
        <v>11100000</v>
      </c>
      <c r="E7">
        <v>1</v>
      </c>
      <c r="F7">
        <v>1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</v>
      </c>
      <c r="O7">
        <v>1</v>
      </c>
      <c r="P7">
        <v>1</v>
      </c>
      <c r="Q7">
        <v>0</v>
      </c>
      <c r="R7">
        <v>0</v>
      </c>
      <c r="S7">
        <v>0</v>
      </c>
      <c r="T7">
        <v>0</v>
      </c>
      <c r="U7" t="str">
        <f t="shared" si="3"/>
        <v>01110000</v>
      </c>
      <c r="V7" t="str">
        <f t="shared" si="4"/>
        <v>112,</v>
      </c>
      <c r="W7" t="str">
        <f t="shared" si="5"/>
        <v xml:space="preserve"> 0x70,</v>
      </c>
      <c r="X7" t="s">
        <v>0</v>
      </c>
      <c r="Y7" t="s">
        <v>1</v>
      </c>
      <c r="AC7" t="str">
        <f t="shared" si="6"/>
        <v xml:space="preserve"> 0x71,</v>
      </c>
      <c r="AD7" t="str">
        <f t="shared" si="7"/>
        <v>113,</v>
      </c>
      <c r="AE7" t="str">
        <f t="shared" si="8"/>
        <v>01110001</v>
      </c>
      <c r="AF7">
        <v>0</v>
      </c>
      <c r="AG7">
        <v>1</v>
      </c>
      <c r="AH7">
        <v>1</v>
      </c>
      <c r="AI7">
        <v>1</v>
      </c>
      <c r="AJ7">
        <v>0</v>
      </c>
      <c r="AK7">
        <v>0</v>
      </c>
      <c r="AL7">
        <v>0</v>
      </c>
      <c r="AM7">
        <v>1</v>
      </c>
      <c r="AN7">
        <v>1</v>
      </c>
      <c r="AO7">
        <v>1</v>
      </c>
      <c r="AP7">
        <v>1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11100000</v>
      </c>
      <c r="AW7" t="str">
        <f t="shared" si="10"/>
        <v>224,</v>
      </c>
      <c r="AX7" t="str">
        <f t="shared" si="11"/>
        <v xml:space="preserve"> 0xE0,</v>
      </c>
      <c r="AY7" t="s">
        <v>0</v>
      </c>
      <c r="AZ7" t="s">
        <v>1</v>
      </c>
      <c r="BD7" t="str">
        <f t="shared" si="12"/>
        <v xml:space="preserve"> 0xF0,</v>
      </c>
      <c r="BE7" t="str">
        <f t="shared" si="13"/>
        <v>240,</v>
      </c>
      <c r="BF7" t="str">
        <f t="shared" si="14"/>
        <v>11110000</v>
      </c>
      <c r="BG7">
        <v>1</v>
      </c>
      <c r="BH7">
        <v>1</v>
      </c>
      <c r="BI7">
        <v>1</v>
      </c>
      <c r="BJ7">
        <v>1</v>
      </c>
      <c r="BK7">
        <v>0</v>
      </c>
      <c r="BL7">
        <v>0</v>
      </c>
      <c r="BM7">
        <v>0</v>
      </c>
      <c r="BN7">
        <v>0</v>
      </c>
      <c r="BO7">
        <v>1</v>
      </c>
      <c r="BP7">
        <v>1</v>
      </c>
      <c r="BQ7">
        <v>1</v>
      </c>
      <c r="BR7">
        <v>1</v>
      </c>
      <c r="BS7">
        <v>0</v>
      </c>
      <c r="BT7">
        <v>0</v>
      </c>
      <c r="BU7">
        <v>0</v>
      </c>
      <c r="BV7">
        <v>0</v>
      </c>
      <c r="BW7" t="str">
        <f t="shared" si="15"/>
        <v>11110000</v>
      </c>
      <c r="BX7" t="str">
        <f t="shared" si="16"/>
        <v>240,</v>
      </c>
      <c r="BY7" t="str">
        <f t="shared" si="17"/>
        <v xml:space="preserve"> 0xF0,</v>
      </c>
      <c r="BZ7" t="s">
        <v>0</v>
      </c>
      <c r="CA7" t="s">
        <v>1</v>
      </c>
    </row>
    <row r="8" spans="1:80">
      <c r="B8" t="str">
        <f t="shared" si="0"/>
        <v xml:space="preserve"> 0xE0,</v>
      </c>
      <c r="C8" t="str">
        <f t="shared" si="1"/>
        <v>224,</v>
      </c>
      <c r="D8" t="str">
        <f t="shared" si="2"/>
        <v>11100000</v>
      </c>
      <c r="E8">
        <v>1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0</v>
      </c>
      <c r="U8" t="str">
        <f t="shared" si="3"/>
        <v>01110000</v>
      </c>
      <c r="V8" t="str">
        <f t="shared" si="4"/>
        <v>112,</v>
      </c>
      <c r="W8" t="str">
        <f t="shared" si="5"/>
        <v xml:space="preserve"> 0x70,</v>
      </c>
      <c r="X8" t="s">
        <v>0</v>
      </c>
      <c r="Y8" t="s">
        <v>1</v>
      </c>
      <c r="AC8" t="str">
        <f t="shared" si="6"/>
        <v xml:space="preserve"> 0x70,</v>
      </c>
      <c r="AD8" t="str">
        <f t="shared" si="7"/>
        <v>112,</v>
      </c>
      <c r="AE8" t="str">
        <f t="shared" si="8"/>
        <v>01110000</v>
      </c>
      <c r="AF8">
        <v>0</v>
      </c>
      <c r="AG8">
        <v>1</v>
      </c>
      <c r="AH8">
        <v>1</v>
      </c>
      <c r="AI8">
        <v>1</v>
      </c>
      <c r="AJ8">
        <v>0</v>
      </c>
      <c r="AK8">
        <v>0</v>
      </c>
      <c r="AL8">
        <v>0</v>
      </c>
      <c r="AM8">
        <v>0</v>
      </c>
      <c r="AN8">
        <v>1</v>
      </c>
      <c r="AO8">
        <v>1</v>
      </c>
      <c r="AP8">
        <v>1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11100000</v>
      </c>
      <c r="AW8" t="str">
        <f t="shared" si="10"/>
        <v>224,</v>
      </c>
      <c r="AX8" t="str">
        <f t="shared" si="11"/>
        <v xml:space="preserve"> 0xE0,</v>
      </c>
      <c r="AY8" t="s">
        <v>0</v>
      </c>
      <c r="AZ8" t="s">
        <v>1</v>
      </c>
      <c r="BD8" t="str">
        <f t="shared" si="12"/>
        <v xml:space="preserve"> 0xE0,</v>
      </c>
      <c r="BE8" t="str">
        <f t="shared" si="13"/>
        <v>224,</v>
      </c>
      <c r="BF8" t="str">
        <f t="shared" si="14"/>
        <v>11100000</v>
      </c>
      <c r="BG8">
        <v>1</v>
      </c>
      <c r="BH8">
        <v>1</v>
      </c>
      <c r="BI8">
        <v>1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1</v>
      </c>
      <c r="BQ8">
        <v>1</v>
      </c>
      <c r="BR8">
        <v>1</v>
      </c>
      <c r="BS8">
        <v>0</v>
      </c>
      <c r="BT8">
        <v>0</v>
      </c>
      <c r="BU8">
        <v>0</v>
      </c>
      <c r="BV8">
        <v>0</v>
      </c>
      <c r="BW8" t="str">
        <f t="shared" si="15"/>
        <v>01110000</v>
      </c>
      <c r="BX8" t="str">
        <f t="shared" si="16"/>
        <v>112,</v>
      </c>
      <c r="BY8" t="str">
        <f t="shared" si="17"/>
        <v xml:space="preserve"> 0x70,</v>
      </c>
      <c r="BZ8" t="s">
        <v>0</v>
      </c>
      <c r="CA8" t="s">
        <v>1</v>
      </c>
    </row>
    <row r="9" spans="1:80">
      <c r="B9" t="str">
        <f t="shared" si="0"/>
        <v xml:space="preserve"> 0xE0,</v>
      </c>
      <c r="C9" t="str">
        <f t="shared" si="1"/>
        <v>224,</v>
      </c>
      <c r="D9" t="str">
        <f t="shared" si="2"/>
        <v>11100000</v>
      </c>
      <c r="E9">
        <v>1</v>
      </c>
      <c r="F9">
        <v>1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1</v>
      </c>
      <c r="O9">
        <v>1</v>
      </c>
      <c r="P9">
        <v>1</v>
      </c>
      <c r="Q9">
        <v>0</v>
      </c>
      <c r="R9">
        <v>0</v>
      </c>
      <c r="S9">
        <v>0</v>
      </c>
      <c r="T9">
        <v>0</v>
      </c>
      <c r="U9" t="str">
        <f t="shared" si="3"/>
        <v>01110000</v>
      </c>
      <c r="V9" t="str">
        <f t="shared" si="4"/>
        <v>112,</v>
      </c>
      <c r="W9" t="str">
        <f t="shared" si="5"/>
        <v xml:space="preserve"> 0x70,</v>
      </c>
      <c r="X9" t="s">
        <v>0</v>
      </c>
      <c r="Y9" t="s">
        <v>1</v>
      </c>
      <c r="AC9" t="str">
        <f t="shared" si="6"/>
        <v xml:space="preserve"> 0x70,</v>
      </c>
      <c r="AD9" t="str">
        <f t="shared" si="7"/>
        <v>112,</v>
      </c>
      <c r="AE9" t="str">
        <f t="shared" si="8"/>
        <v>01110000</v>
      </c>
      <c r="AF9">
        <v>0</v>
      </c>
      <c r="AG9">
        <v>1</v>
      </c>
      <c r="AH9">
        <v>1</v>
      </c>
      <c r="AI9">
        <v>1</v>
      </c>
      <c r="AJ9">
        <v>0</v>
      </c>
      <c r="AK9">
        <v>0</v>
      </c>
      <c r="AL9">
        <v>0</v>
      </c>
      <c r="AM9">
        <v>0</v>
      </c>
      <c r="AN9">
        <v>1</v>
      </c>
      <c r="AO9">
        <v>1</v>
      </c>
      <c r="AP9">
        <v>1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11100000</v>
      </c>
      <c r="AW9" t="str">
        <f t="shared" si="10"/>
        <v>224,</v>
      </c>
      <c r="AX9" t="str">
        <f t="shared" si="11"/>
        <v xml:space="preserve"> 0xE0,</v>
      </c>
      <c r="AY9" t="s">
        <v>0</v>
      </c>
      <c r="AZ9" t="s">
        <v>1</v>
      </c>
      <c r="BD9" t="str">
        <f t="shared" si="12"/>
        <v xml:space="preserve"> 0xE0,</v>
      </c>
      <c r="BE9" t="str">
        <f t="shared" si="13"/>
        <v>224,</v>
      </c>
      <c r="BF9" t="str">
        <f t="shared" si="14"/>
        <v>11100000</v>
      </c>
      <c r="BG9">
        <v>1</v>
      </c>
      <c r="BH9">
        <v>1</v>
      </c>
      <c r="BI9">
        <v>1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0xE0,</v>
      </c>
      <c r="C10" t="str">
        <f t="shared" si="1"/>
        <v>224,</v>
      </c>
      <c r="D10" t="str">
        <f t="shared" si="2"/>
        <v>11100000</v>
      </c>
      <c r="E10">
        <v>1</v>
      </c>
      <c r="F10">
        <v>1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</v>
      </c>
      <c r="O10">
        <v>1</v>
      </c>
      <c r="P10">
        <v>1</v>
      </c>
      <c r="Q10">
        <v>0</v>
      </c>
      <c r="R10">
        <v>0</v>
      </c>
      <c r="S10">
        <v>0</v>
      </c>
      <c r="T10">
        <v>0</v>
      </c>
      <c r="U10" t="str">
        <f t="shared" si="3"/>
        <v>01110000</v>
      </c>
      <c r="V10" t="str">
        <f t="shared" si="4"/>
        <v>112,</v>
      </c>
      <c r="W10" t="str">
        <f t="shared" si="5"/>
        <v xml:space="preserve"> 0x70,</v>
      </c>
      <c r="X10" t="s">
        <v>0</v>
      </c>
      <c r="Y10" t="s">
        <v>1</v>
      </c>
      <c r="AC10" t="str">
        <f t="shared" si="6"/>
        <v xml:space="preserve"> 0x70,</v>
      </c>
      <c r="AD10" t="str">
        <f t="shared" si="7"/>
        <v>112,</v>
      </c>
      <c r="AE10" t="str">
        <f t="shared" si="8"/>
        <v>01110000</v>
      </c>
      <c r="AF10">
        <v>0</v>
      </c>
      <c r="AG10">
        <v>1</v>
      </c>
      <c r="AH10">
        <v>1</v>
      </c>
      <c r="AI10">
        <v>1</v>
      </c>
      <c r="AJ10">
        <v>0</v>
      </c>
      <c r="AK10">
        <v>0</v>
      </c>
      <c r="AL10">
        <v>0</v>
      </c>
      <c r="AM10">
        <v>0</v>
      </c>
      <c r="AN10">
        <v>1</v>
      </c>
      <c r="AO10">
        <v>1</v>
      </c>
      <c r="AP10">
        <v>1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11100000</v>
      </c>
      <c r="AW10" t="str">
        <f t="shared" si="10"/>
        <v>224,</v>
      </c>
      <c r="AX10" t="str">
        <f t="shared" si="11"/>
        <v xml:space="preserve"> 0xE0,</v>
      </c>
      <c r="AY10" t="s">
        <v>0</v>
      </c>
      <c r="AZ10" t="s">
        <v>1</v>
      </c>
      <c r="BD10" t="str">
        <f t="shared" si="12"/>
        <v xml:space="preserve"> 0xE0,</v>
      </c>
      <c r="BE10" t="str">
        <f t="shared" si="13"/>
        <v>224,</v>
      </c>
      <c r="BF10" t="str">
        <f t="shared" si="14"/>
        <v>11100000</v>
      </c>
      <c r="BG10">
        <v>1</v>
      </c>
      <c r="BH10">
        <v>1</v>
      </c>
      <c r="BI10">
        <v>1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0xE0,</v>
      </c>
      <c r="C11" t="str">
        <f t="shared" si="1"/>
        <v>224,</v>
      </c>
      <c r="D11" t="str">
        <f t="shared" si="2"/>
        <v>11100000</v>
      </c>
      <c r="E11">
        <v>1</v>
      </c>
      <c r="F11">
        <v>1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1</v>
      </c>
      <c r="O11">
        <v>1</v>
      </c>
      <c r="P11">
        <v>1</v>
      </c>
      <c r="Q11">
        <v>0</v>
      </c>
      <c r="R11">
        <v>0</v>
      </c>
      <c r="S11">
        <v>0</v>
      </c>
      <c r="T11">
        <v>0</v>
      </c>
      <c r="U11" t="str">
        <f t="shared" si="3"/>
        <v>01110000</v>
      </c>
      <c r="V11" t="str">
        <f t="shared" si="4"/>
        <v>112,</v>
      </c>
      <c r="W11" t="str">
        <f t="shared" si="5"/>
        <v xml:space="preserve"> 0x70,</v>
      </c>
      <c r="X11" t="s">
        <v>0</v>
      </c>
      <c r="Y11" t="s">
        <v>1</v>
      </c>
      <c r="AC11" t="str">
        <f t="shared" si="6"/>
        <v xml:space="preserve"> 0x71,</v>
      </c>
      <c r="AD11" t="str">
        <f t="shared" si="7"/>
        <v>113,</v>
      </c>
      <c r="AE11" t="str">
        <f t="shared" si="8"/>
        <v>01110001</v>
      </c>
      <c r="AF11">
        <v>0</v>
      </c>
      <c r="AG11">
        <v>1</v>
      </c>
      <c r="AH11">
        <v>1</v>
      </c>
      <c r="AI11">
        <v>1</v>
      </c>
      <c r="AJ11">
        <v>0</v>
      </c>
      <c r="AK11">
        <v>0</v>
      </c>
      <c r="AL11">
        <v>0</v>
      </c>
      <c r="AM11">
        <v>1</v>
      </c>
      <c r="AN11">
        <v>1</v>
      </c>
      <c r="AO11">
        <v>1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11000000</v>
      </c>
      <c r="AW11" t="str">
        <f t="shared" si="10"/>
        <v>192,</v>
      </c>
      <c r="AX11" t="str">
        <f t="shared" si="11"/>
        <v xml:space="preserve"> 0xC0,</v>
      </c>
      <c r="AY11" t="s">
        <v>0</v>
      </c>
      <c r="AZ11" t="s">
        <v>1</v>
      </c>
      <c r="BD11" t="str">
        <f t="shared" si="12"/>
        <v xml:space="preserve"> 0xE0,</v>
      </c>
      <c r="BE11" t="str">
        <f t="shared" si="13"/>
        <v>224,</v>
      </c>
      <c r="BF11" t="str">
        <f t="shared" si="14"/>
        <v>11100000</v>
      </c>
      <c r="BG11">
        <v>1</v>
      </c>
      <c r="BH11">
        <v>1</v>
      </c>
      <c r="BI11">
        <v>1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0xFF,</v>
      </c>
      <c r="C12" t="str">
        <f t="shared" si="1"/>
        <v>255,</v>
      </c>
      <c r="D12" t="str">
        <f t="shared" si="2"/>
        <v>11111111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0</v>
      </c>
      <c r="R12">
        <v>0</v>
      </c>
      <c r="S12">
        <v>0</v>
      </c>
      <c r="T12">
        <v>0</v>
      </c>
      <c r="U12" t="str">
        <f t="shared" si="3"/>
        <v>11110000</v>
      </c>
      <c r="V12" t="str">
        <f t="shared" si="4"/>
        <v>240,</v>
      </c>
      <c r="W12" t="str">
        <f t="shared" si="5"/>
        <v xml:space="preserve"> 0xF0,</v>
      </c>
      <c r="X12" t="s">
        <v>0</v>
      </c>
      <c r="Y12" t="s">
        <v>1</v>
      </c>
      <c r="AC12" t="str">
        <f t="shared" si="6"/>
        <v xml:space="preserve"> 0x7F,</v>
      </c>
      <c r="AD12" t="str">
        <f t="shared" si="7"/>
        <v>127,</v>
      </c>
      <c r="AE12" t="str">
        <f t="shared" si="8"/>
        <v>01111111</v>
      </c>
      <c r="AF12">
        <v>0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11000000</v>
      </c>
      <c r="AW12" t="str">
        <f t="shared" si="10"/>
        <v>192,</v>
      </c>
      <c r="AX12" t="str">
        <f t="shared" si="11"/>
        <v xml:space="preserve"> 0xC0,</v>
      </c>
      <c r="AY12" t="s">
        <v>0</v>
      </c>
      <c r="AZ12" t="s">
        <v>1</v>
      </c>
      <c r="BD12" t="str">
        <f t="shared" si="12"/>
        <v xml:space="preserve"> 0xE0,</v>
      </c>
      <c r="BE12" t="str">
        <f t="shared" si="13"/>
        <v>224,</v>
      </c>
      <c r="BF12" t="str">
        <f t="shared" si="14"/>
        <v>11100000</v>
      </c>
      <c r="BG12">
        <v>1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0xFF,</v>
      </c>
      <c r="C13" t="str">
        <f t="shared" si="1"/>
        <v>255,</v>
      </c>
      <c r="D13" t="str">
        <f t="shared" si="2"/>
        <v>11111111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0</v>
      </c>
      <c r="R13">
        <v>0</v>
      </c>
      <c r="S13">
        <v>0</v>
      </c>
      <c r="T13">
        <v>0</v>
      </c>
      <c r="U13" t="str">
        <f t="shared" si="3"/>
        <v>11110000</v>
      </c>
      <c r="V13" t="str">
        <f t="shared" si="4"/>
        <v>240,</v>
      </c>
      <c r="W13" t="str">
        <f t="shared" si="5"/>
        <v xml:space="preserve"> 0xF0,</v>
      </c>
      <c r="X13" t="s">
        <v>0</v>
      </c>
      <c r="Y13" t="s">
        <v>1</v>
      </c>
      <c r="AC13" t="str">
        <f t="shared" si="6"/>
        <v xml:space="preserve"> 0x7F,</v>
      </c>
      <c r="AD13" t="str">
        <f t="shared" si="7"/>
        <v>127,</v>
      </c>
      <c r="AE13" t="str">
        <f t="shared" si="8"/>
        <v>01111111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11000000</v>
      </c>
      <c r="AW13" t="str">
        <f t="shared" si="10"/>
        <v>192,</v>
      </c>
      <c r="AX13" t="str">
        <f t="shared" si="11"/>
        <v xml:space="preserve"> 0xC0,</v>
      </c>
      <c r="AY13" t="s">
        <v>0</v>
      </c>
      <c r="AZ13" t="s">
        <v>1</v>
      </c>
      <c r="BD13" t="str">
        <f t="shared" si="12"/>
        <v xml:space="preserve"> 0xE0,</v>
      </c>
      <c r="BE13" t="str">
        <f t="shared" si="13"/>
        <v>224,</v>
      </c>
      <c r="BF13" t="str">
        <f t="shared" si="14"/>
        <v>11100000</v>
      </c>
      <c r="BG13">
        <v>1</v>
      </c>
      <c r="BH13">
        <v>1</v>
      </c>
      <c r="BI13">
        <v>1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0xE0,</v>
      </c>
      <c r="C14" t="str">
        <f t="shared" si="1"/>
        <v>224,</v>
      </c>
      <c r="D14" t="str">
        <f t="shared" si="2"/>
        <v>11100000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1</v>
      </c>
      <c r="O14">
        <v>1</v>
      </c>
      <c r="P14">
        <v>1</v>
      </c>
      <c r="Q14">
        <v>0</v>
      </c>
      <c r="R14">
        <v>0</v>
      </c>
      <c r="S14">
        <v>0</v>
      </c>
      <c r="T14">
        <v>0</v>
      </c>
      <c r="U14" t="str">
        <f t="shared" si="3"/>
        <v>01110000</v>
      </c>
      <c r="V14" t="str">
        <f t="shared" si="4"/>
        <v>112,</v>
      </c>
      <c r="W14" t="str">
        <f t="shared" si="5"/>
        <v xml:space="preserve"> 0x70,</v>
      </c>
      <c r="X14" t="s">
        <v>0</v>
      </c>
      <c r="Y14" t="s">
        <v>1</v>
      </c>
      <c r="AC14" t="str">
        <f t="shared" si="6"/>
        <v xml:space="preserve"> 0x70,</v>
      </c>
      <c r="AD14" t="str">
        <f t="shared" si="7"/>
        <v>112,</v>
      </c>
      <c r="AE14" t="str">
        <f t="shared" si="8"/>
        <v>01110000</v>
      </c>
      <c r="AF14">
        <v>0</v>
      </c>
      <c r="AG14">
        <v>1</v>
      </c>
      <c r="AH14">
        <v>1</v>
      </c>
      <c r="AI14">
        <v>1</v>
      </c>
      <c r="AJ14">
        <v>0</v>
      </c>
      <c r="AK14">
        <v>0</v>
      </c>
      <c r="AL14">
        <v>0</v>
      </c>
      <c r="AM14">
        <v>0</v>
      </c>
      <c r="AN14">
        <v>1</v>
      </c>
      <c r="AO14">
        <v>1</v>
      </c>
      <c r="AP14">
        <v>1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11100000</v>
      </c>
      <c r="AW14" t="str">
        <f t="shared" si="10"/>
        <v>224,</v>
      </c>
      <c r="AX14" t="str">
        <f t="shared" si="11"/>
        <v xml:space="preserve"> 0xE0,</v>
      </c>
      <c r="AY14" t="s">
        <v>0</v>
      </c>
      <c r="AZ14" t="s">
        <v>1</v>
      </c>
      <c r="BD14" t="str">
        <f t="shared" si="12"/>
        <v xml:space="preserve"> 0xE0,</v>
      </c>
      <c r="BE14" t="str">
        <f t="shared" si="13"/>
        <v>224,</v>
      </c>
      <c r="BF14" t="str">
        <f t="shared" si="14"/>
        <v>11100000</v>
      </c>
      <c r="BG14">
        <v>1</v>
      </c>
      <c r="BH14">
        <v>1</v>
      </c>
      <c r="BI14">
        <v>1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0xE0,</v>
      </c>
      <c r="C15" t="str">
        <f t="shared" si="1"/>
        <v>224,</v>
      </c>
      <c r="D15" t="str">
        <f t="shared" si="2"/>
        <v>11100000</v>
      </c>
      <c r="E15">
        <v>1</v>
      </c>
      <c r="F15">
        <v>1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1</v>
      </c>
      <c r="P15">
        <v>1</v>
      </c>
      <c r="Q15">
        <v>0</v>
      </c>
      <c r="R15">
        <v>0</v>
      </c>
      <c r="S15">
        <v>0</v>
      </c>
      <c r="T15">
        <v>0</v>
      </c>
      <c r="U15" t="str">
        <f t="shared" si="3"/>
        <v>01110000</v>
      </c>
      <c r="V15" t="str">
        <f t="shared" si="4"/>
        <v>112,</v>
      </c>
      <c r="W15" t="str">
        <f t="shared" si="5"/>
        <v xml:space="preserve"> 0x70,</v>
      </c>
      <c r="X15" t="s">
        <v>0</v>
      </c>
      <c r="Y15" t="s">
        <v>1</v>
      </c>
      <c r="AC15" t="str">
        <f t="shared" si="6"/>
        <v xml:space="preserve"> 0x70,</v>
      </c>
      <c r="AD15" t="str">
        <f t="shared" si="7"/>
        <v>112,</v>
      </c>
      <c r="AE15" t="str">
        <f t="shared" si="8"/>
        <v>01110000</v>
      </c>
      <c r="AF15">
        <v>0</v>
      </c>
      <c r="AG15">
        <v>1</v>
      </c>
      <c r="AH15">
        <v>1</v>
      </c>
      <c r="AI15">
        <v>1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</v>
      </c>
      <c r="AR15">
        <v>0</v>
      </c>
      <c r="AS15">
        <v>0</v>
      </c>
      <c r="AT15">
        <v>0</v>
      </c>
      <c r="AU15">
        <v>0</v>
      </c>
      <c r="AV15" t="str">
        <f t="shared" si="9"/>
        <v>01110000</v>
      </c>
      <c r="AW15" t="str">
        <f t="shared" si="10"/>
        <v>112,</v>
      </c>
      <c r="AX15" t="str">
        <f t="shared" si="11"/>
        <v xml:space="preserve"> 0x70,</v>
      </c>
      <c r="AY15" t="s">
        <v>0</v>
      </c>
      <c r="AZ15" t="s">
        <v>1</v>
      </c>
      <c r="BD15" t="str">
        <f t="shared" si="12"/>
        <v xml:space="preserve"> 0xE0,</v>
      </c>
      <c r="BE15" t="str">
        <f t="shared" si="13"/>
        <v>224,</v>
      </c>
      <c r="BF15" t="str">
        <f t="shared" si="14"/>
        <v>11100000</v>
      </c>
      <c r="BG15">
        <v>1</v>
      </c>
      <c r="BH15">
        <v>1</v>
      </c>
      <c r="BI15">
        <v>1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0xE0,</v>
      </c>
      <c r="C16" t="str">
        <f t="shared" si="1"/>
        <v>224,</v>
      </c>
      <c r="D16" t="str">
        <f t="shared" si="2"/>
        <v>11100000</v>
      </c>
      <c r="E16">
        <v>1</v>
      </c>
      <c r="F16">
        <v>1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1</v>
      </c>
      <c r="P16">
        <v>1</v>
      </c>
      <c r="Q16">
        <v>0</v>
      </c>
      <c r="R16">
        <v>0</v>
      </c>
      <c r="S16">
        <v>0</v>
      </c>
      <c r="T16">
        <v>0</v>
      </c>
      <c r="U16" t="str">
        <f t="shared" si="3"/>
        <v>01110000</v>
      </c>
      <c r="V16" t="str">
        <f t="shared" si="4"/>
        <v>112,</v>
      </c>
      <c r="W16" t="str">
        <f t="shared" si="5"/>
        <v xml:space="preserve"> 0x70,</v>
      </c>
      <c r="X16" t="s">
        <v>0</v>
      </c>
      <c r="Y16" t="s">
        <v>1</v>
      </c>
      <c r="AC16" t="str">
        <f t="shared" si="6"/>
        <v xml:space="preserve"> 0x70,</v>
      </c>
      <c r="AD16" t="str">
        <f t="shared" si="7"/>
        <v>112,</v>
      </c>
      <c r="AE16" t="str">
        <f t="shared" si="8"/>
        <v>01110000</v>
      </c>
      <c r="AF16">
        <v>0</v>
      </c>
      <c r="AG16">
        <v>1</v>
      </c>
      <c r="AH16">
        <v>1</v>
      </c>
      <c r="AI16">
        <v>1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1</v>
      </c>
      <c r="AP16">
        <v>1</v>
      </c>
      <c r="AQ16">
        <v>1</v>
      </c>
      <c r="AR16">
        <v>0</v>
      </c>
      <c r="AS16">
        <v>0</v>
      </c>
      <c r="AT16">
        <v>0</v>
      </c>
      <c r="AU16">
        <v>0</v>
      </c>
      <c r="AV16" t="str">
        <f t="shared" si="9"/>
        <v>01110000</v>
      </c>
      <c r="AW16" t="str">
        <f t="shared" si="10"/>
        <v>112,</v>
      </c>
      <c r="AX16" t="str">
        <f t="shared" si="11"/>
        <v xml:space="preserve"> 0x70,</v>
      </c>
      <c r="AY16" t="s">
        <v>0</v>
      </c>
      <c r="AZ16" t="s">
        <v>1</v>
      </c>
      <c r="BD16" t="str">
        <f t="shared" si="12"/>
        <v xml:space="preserve"> 0xE0,</v>
      </c>
      <c r="BE16" t="str">
        <f t="shared" si="13"/>
        <v>224,</v>
      </c>
      <c r="BF16" t="str">
        <f t="shared" si="14"/>
        <v>11100000</v>
      </c>
      <c r="BG16">
        <v>1</v>
      </c>
      <c r="BH16">
        <v>1</v>
      </c>
      <c r="BI16">
        <v>1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0xE0,</v>
      </c>
      <c r="C17" t="str">
        <f t="shared" si="1"/>
        <v>224,</v>
      </c>
      <c r="D17" t="str">
        <f t="shared" si="2"/>
        <v>11100000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</v>
      </c>
      <c r="O17">
        <v>1</v>
      </c>
      <c r="P17">
        <v>1</v>
      </c>
      <c r="Q17">
        <v>0</v>
      </c>
      <c r="R17">
        <v>0</v>
      </c>
      <c r="S17">
        <v>0</v>
      </c>
      <c r="T17">
        <v>0</v>
      </c>
      <c r="U17" t="str">
        <f t="shared" si="3"/>
        <v>01110000</v>
      </c>
      <c r="V17" t="str">
        <f t="shared" si="4"/>
        <v>112,</v>
      </c>
      <c r="W17" t="str">
        <f t="shared" si="5"/>
        <v xml:space="preserve"> 0x70,</v>
      </c>
      <c r="X17" t="s">
        <v>0</v>
      </c>
      <c r="Y17" t="s">
        <v>1</v>
      </c>
      <c r="AC17" t="str">
        <f t="shared" si="6"/>
        <v xml:space="preserve"> 0x70,</v>
      </c>
      <c r="AD17" t="str">
        <f t="shared" si="7"/>
        <v>112,</v>
      </c>
      <c r="AE17" t="str">
        <f t="shared" si="8"/>
        <v>01110000</v>
      </c>
      <c r="AF17">
        <v>0</v>
      </c>
      <c r="AG17">
        <v>1</v>
      </c>
      <c r="AH17">
        <v>1</v>
      </c>
      <c r="AI17">
        <v>1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1</v>
      </c>
      <c r="AP17">
        <v>1</v>
      </c>
      <c r="AQ17">
        <v>1</v>
      </c>
      <c r="AR17">
        <v>0</v>
      </c>
      <c r="AS17">
        <v>0</v>
      </c>
      <c r="AT17">
        <v>0</v>
      </c>
      <c r="AU17">
        <v>0</v>
      </c>
      <c r="AV17" t="str">
        <f t="shared" si="9"/>
        <v>01110000</v>
      </c>
      <c r="AW17" t="str">
        <f t="shared" si="10"/>
        <v>112,</v>
      </c>
      <c r="AX17" t="str">
        <f t="shared" si="11"/>
        <v xml:space="preserve"> 0x70,</v>
      </c>
      <c r="AY17" t="s">
        <v>0</v>
      </c>
      <c r="AZ17" t="s">
        <v>1</v>
      </c>
      <c r="BD17" t="str">
        <f t="shared" si="12"/>
        <v xml:space="preserve"> 0xE0,</v>
      </c>
      <c r="BE17" t="str">
        <f t="shared" si="13"/>
        <v>224,</v>
      </c>
      <c r="BF17" t="str">
        <f t="shared" si="14"/>
        <v>11100000</v>
      </c>
      <c r="BG17">
        <v>1</v>
      </c>
      <c r="BH17">
        <v>1</v>
      </c>
      <c r="BI17">
        <v>1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1</v>
      </c>
      <c r="BQ17">
        <v>1</v>
      </c>
      <c r="BR17">
        <v>1</v>
      </c>
      <c r="BS17">
        <v>0</v>
      </c>
      <c r="BT17">
        <v>0</v>
      </c>
      <c r="BU17">
        <v>0</v>
      </c>
      <c r="BV17">
        <v>0</v>
      </c>
      <c r="BW17" t="str">
        <f t="shared" si="15"/>
        <v>01110000</v>
      </c>
      <c r="BX17" t="str">
        <f t="shared" si="16"/>
        <v>112,</v>
      </c>
      <c r="BY17" t="str">
        <f t="shared" si="17"/>
        <v xml:space="preserve"> 0x70,</v>
      </c>
      <c r="BZ17" t="s">
        <v>0</v>
      </c>
      <c r="CA17" t="s">
        <v>1</v>
      </c>
    </row>
    <row r="18" spans="1:79">
      <c r="B18" t="str">
        <f t="shared" si="0"/>
        <v xml:space="preserve"> 0xE0,</v>
      </c>
      <c r="C18" t="str">
        <f t="shared" si="1"/>
        <v>224,</v>
      </c>
      <c r="D18" t="str">
        <f t="shared" si="2"/>
        <v>11100000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1</v>
      </c>
      <c r="O18">
        <v>1</v>
      </c>
      <c r="P18">
        <v>1</v>
      </c>
      <c r="Q18">
        <v>0</v>
      </c>
      <c r="R18">
        <v>0</v>
      </c>
      <c r="S18">
        <v>0</v>
      </c>
      <c r="T18">
        <v>0</v>
      </c>
      <c r="U18" t="str">
        <f t="shared" si="3"/>
        <v>01110000</v>
      </c>
      <c r="V18" t="str">
        <f t="shared" si="4"/>
        <v>112,</v>
      </c>
      <c r="W18" t="str">
        <f t="shared" si="5"/>
        <v xml:space="preserve"> 0x70,</v>
      </c>
      <c r="X18" t="s">
        <v>0</v>
      </c>
      <c r="Y18" t="s">
        <v>1</v>
      </c>
      <c r="AC18" t="str">
        <f t="shared" si="6"/>
        <v xml:space="preserve"> 0x70,</v>
      </c>
      <c r="AD18" t="str">
        <f t="shared" si="7"/>
        <v>112,</v>
      </c>
      <c r="AE18" t="str">
        <f t="shared" si="8"/>
        <v>01110000</v>
      </c>
      <c r="AF18">
        <v>0</v>
      </c>
      <c r="AG18">
        <v>1</v>
      </c>
      <c r="AH18">
        <v>1</v>
      </c>
      <c r="AI18">
        <v>1</v>
      </c>
      <c r="AJ18">
        <v>0</v>
      </c>
      <c r="AK18">
        <v>0</v>
      </c>
      <c r="AL18">
        <v>0</v>
      </c>
      <c r="AM18">
        <v>0</v>
      </c>
      <c r="AN18">
        <v>1</v>
      </c>
      <c r="AO18">
        <v>1</v>
      </c>
      <c r="AP18">
        <v>1</v>
      </c>
      <c r="AQ18">
        <v>1</v>
      </c>
      <c r="AR18">
        <v>0</v>
      </c>
      <c r="AS18">
        <v>0</v>
      </c>
      <c r="AT18">
        <v>0</v>
      </c>
      <c r="AU18">
        <v>0</v>
      </c>
      <c r="AV18" t="str">
        <f t="shared" si="9"/>
        <v>11110000</v>
      </c>
      <c r="AW18" t="str">
        <f t="shared" si="10"/>
        <v>240,</v>
      </c>
      <c r="AX18" t="str">
        <f t="shared" si="11"/>
        <v xml:space="preserve"> 0xF0,</v>
      </c>
      <c r="AY18" t="s">
        <v>0</v>
      </c>
      <c r="AZ18" t="s">
        <v>1</v>
      </c>
      <c r="BD18" t="str">
        <f t="shared" si="12"/>
        <v xml:space="preserve"> 0xF0,</v>
      </c>
      <c r="BE18" t="str">
        <f t="shared" si="13"/>
        <v>240,</v>
      </c>
      <c r="BF18" t="str">
        <f t="shared" si="14"/>
        <v>11110000</v>
      </c>
      <c r="BG18">
        <v>1</v>
      </c>
      <c r="BH18">
        <v>1</v>
      </c>
      <c r="BI18">
        <v>1</v>
      </c>
      <c r="BJ18">
        <v>1</v>
      </c>
      <c r="BK18">
        <v>0</v>
      </c>
      <c r="BL18">
        <v>0</v>
      </c>
      <c r="BM18">
        <v>0</v>
      </c>
      <c r="BN18">
        <v>0</v>
      </c>
      <c r="BO18">
        <v>1</v>
      </c>
      <c r="BP18">
        <v>1</v>
      </c>
      <c r="BQ18">
        <v>1</v>
      </c>
      <c r="BR18">
        <v>1</v>
      </c>
      <c r="BS18">
        <v>0</v>
      </c>
      <c r="BT18">
        <v>0</v>
      </c>
      <c r="BU18">
        <v>0</v>
      </c>
      <c r="BV18">
        <v>0</v>
      </c>
      <c r="BW18" t="str">
        <f t="shared" si="15"/>
        <v>11110000</v>
      </c>
      <c r="BX18" t="str">
        <f t="shared" si="16"/>
        <v>240,</v>
      </c>
      <c r="BY18" t="str">
        <f t="shared" si="17"/>
        <v xml:space="preserve"> 0xF0,</v>
      </c>
      <c r="BZ18" t="s">
        <v>0</v>
      </c>
      <c r="CA18" t="s">
        <v>1</v>
      </c>
    </row>
    <row r="19" spans="1:79">
      <c r="B19" t="str">
        <f t="shared" si="0"/>
        <v xml:space="preserve"> 0xE0,</v>
      </c>
      <c r="C19" t="str">
        <f t="shared" si="1"/>
        <v>224,</v>
      </c>
      <c r="D19" t="str">
        <f t="shared" si="2"/>
        <v>11100000</v>
      </c>
      <c r="E19">
        <v>1</v>
      </c>
      <c r="F19">
        <v>1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1</v>
      </c>
      <c r="P19">
        <v>1</v>
      </c>
      <c r="Q19">
        <v>0</v>
      </c>
      <c r="R19">
        <v>0</v>
      </c>
      <c r="S19">
        <v>0</v>
      </c>
      <c r="T19">
        <v>0</v>
      </c>
      <c r="U19" t="str">
        <f t="shared" si="3"/>
        <v>01110000</v>
      </c>
      <c r="V19" t="str">
        <f t="shared" si="4"/>
        <v>112,</v>
      </c>
      <c r="W19" t="str">
        <f t="shared" si="5"/>
        <v xml:space="preserve"> 0x70,</v>
      </c>
      <c r="X19" t="s">
        <v>0</v>
      </c>
      <c r="Y19" t="s">
        <v>1</v>
      </c>
      <c r="AC19" t="str">
        <f t="shared" si="6"/>
        <v xml:space="preserve"> 0xFF,</v>
      </c>
      <c r="AD19" t="str">
        <f t="shared" si="7"/>
        <v>255,</v>
      </c>
      <c r="AE19" t="str">
        <f t="shared" si="8"/>
        <v>11111111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11100000</v>
      </c>
      <c r="AW19" t="str">
        <f t="shared" si="10"/>
        <v>224,</v>
      </c>
      <c r="AX19" t="str">
        <f t="shared" si="11"/>
        <v xml:space="preserve"> 0xE0,</v>
      </c>
      <c r="AY19" t="s">
        <v>0</v>
      </c>
      <c r="AZ19" t="s">
        <v>1</v>
      </c>
      <c r="BD19" t="str">
        <f t="shared" si="12"/>
        <v xml:space="preserve"> 0x7F,</v>
      </c>
      <c r="BE19" t="str">
        <f t="shared" si="13"/>
        <v>127,</v>
      </c>
      <c r="BF19" t="str">
        <f t="shared" si="14"/>
        <v>01111111</v>
      </c>
      <c r="BG19">
        <v>0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11100000</v>
      </c>
      <c r="BX19" t="str">
        <f t="shared" si="16"/>
        <v>224,</v>
      </c>
      <c r="BY19" t="str">
        <f t="shared" si="17"/>
        <v xml:space="preserve"> 0xE0,</v>
      </c>
      <c r="BZ19" t="s">
        <v>0</v>
      </c>
      <c r="CA19" t="s">
        <v>1</v>
      </c>
    </row>
    <row r="20" spans="1:79">
      <c r="B20" t="str">
        <f t="shared" si="0"/>
        <v xml:space="preserve"> 0xE0,</v>
      </c>
      <c r="C20" t="str">
        <f t="shared" si="1"/>
        <v>224,</v>
      </c>
      <c r="D20" t="str">
        <f t="shared" si="2"/>
        <v>11100000</v>
      </c>
      <c r="E20">
        <v>1</v>
      </c>
      <c r="F20">
        <v>1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1</v>
      </c>
      <c r="O20">
        <v>1</v>
      </c>
      <c r="P20">
        <v>1</v>
      </c>
      <c r="Q20">
        <v>0</v>
      </c>
      <c r="R20">
        <v>0</v>
      </c>
      <c r="S20">
        <v>0</v>
      </c>
      <c r="T20">
        <v>0</v>
      </c>
      <c r="U20" t="str">
        <f t="shared" si="3"/>
        <v>01110000</v>
      </c>
      <c r="V20" t="str">
        <f t="shared" si="4"/>
        <v>112,</v>
      </c>
      <c r="W20" t="str">
        <f t="shared" si="5"/>
        <v xml:space="preserve"> 0x70,</v>
      </c>
      <c r="X20" t="s">
        <v>0</v>
      </c>
      <c r="Y20" t="s">
        <v>1</v>
      </c>
      <c r="AC20" t="str">
        <f t="shared" si="6"/>
        <v xml:space="preserve"> 0xFF,</v>
      </c>
      <c r="AD20" t="str">
        <f t="shared" si="7"/>
        <v>255,</v>
      </c>
      <c r="AE20" t="str">
        <f t="shared" si="8"/>
        <v>11111111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11000000</v>
      </c>
      <c r="AW20" t="str">
        <f t="shared" si="10"/>
        <v>192,</v>
      </c>
      <c r="AX20" t="str">
        <f t="shared" si="11"/>
        <v xml:space="preserve"> 0xC0,</v>
      </c>
      <c r="AY20" t="s">
        <v>0</v>
      </c>
      <c r="AZ20" t="s">
        <v>1</v>
      </c>
      <c r="BD20" t="str">
        <f t="shared" si="12"/>
        <v xml:space="preserve"> 0x3F,</v>
      </c>
      <c r="BE20" t="str">
        <f t="shared" si="13"/>
        <v>63,</v>
      </c>
      <c r="BF20" t="str">
        <f t="shared" si="14"/>
        <v>00111111</v>
      </c>
      <c r="BG20">
        <v>0</v>
      </c>
      <c r="BH20">
        <v>0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11000000</v>
      </c>
      <c r="BX20" t="str">
        <f t="shared" si="16"/>
        <v>192,</v>
      </c>
      <c r="BY20" t="str">
        <f t="shared" si="17"/>
        <v xml:space="preserve"> 0xC0,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1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12,</v>
      </c>
      <c r="V22" t="str">
        <f>Y20&amp;DEC2HEX(U22,2)&amp;X20</f>
        <v xml:space="preserve"> 0x0C,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1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12,</v>
      </c>
      <c r="AW22" t="str">
        <f>AZ20&amp;DEC2HEX(AV22,2)&amp;AY20</f>
        <v xml:space="preserve"> 0x0C,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1</v>
      </c>
      <c r="BR22">
        <f t="shared" si="20"/>
        <v>1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12,</v>
      </c>
      <c r="BX22" t="str">
        <f>CA20&amp;DEC2HEX(BW22,2)&amp;BZ20</f>
        <v xml:space="preserve"> 0x0C,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12,63,192,127,224,224,112,224,112,224,112,224,112,224,112,255,240,255,240,224,112,224,112,224,112,224,112,224,112,224,112,224,112,//A//65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12,255,128,255,192,113,224,112,224,112,224,112,224,113,192,127,192,127,192,112,224,112,112,112,112,112,112,112,240,255,224,255,192,//B//66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12,63,192,127,224,240,240,224,112,224,0,224,0,224,0,224,0,224,0,224,0,224,0,224,0,224,112,240,240,127,224,63,192,//C//67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0x0C, 0x3F, 0xC0, 0x7F, 0xE0, 0xE0, 0x70, 0xE0, 0x70, 0xE0, 0x70, 0xE0, 0x70, 0xE0, 0x70, 0xFF, 0xF0, 0xFF, 0xF0, 0xE0, 0x70, 0xE0, 0x70, 0xE0, 0x70, 0xE0, 0x70, 0xE0, 0x70, 0xE0, 0x70, 0xE0, 0x70,//A//65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0x0C, 0xFF, 0x80, 0xFF, 0xC0, 0x71, 0xE0, 0x70, 0xE0, 0x70, 0xE0, 0x70, 0xE0, 0x71, 0xC0, 0x7F, 0xC0, 0x7F, 0xC0, 0x70, 0xE0, 0x70, 0x70, 0x70, 0x70, 0x70, 0x70, 0x70, 0xF0, 0xFF, 0xE0, 0xFF, 0xC0,//B//66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0x0C, 0x3F, 0xC0, 0x7F, 0xE0, 0xF0, 0xF0, 0xE0, 0x70, 0xE0, 0x00, 0xE0, 0x00, 0xE0, 0x00, 0xE0, 0x00, 0xE0, 0x00, 0xE0, 0x00, 0xE0, 0x00, 0xE0, 0x00, 0xE0, 0x70, 0xF0, 0xF0, 0x7F, 0xE0, 0x3F, 0xC0,//C//67</v>
      </c>
    </row>
    <row r="28" spans="1:79">
      <c r="A28" s="1" t="str">
        <f>$B$24</f>
        <v>12,63,192,127,224,224,112,224,112,224,112,224,112,224,112,255,240,255,240,224,112,224,112,224,112,224,112,224,112,224,112,224,112,//A//65</v>
      </c>
      <c r="E28" t="s">
        <v>4</v>
      </c>
      <c r="AB28" s="1" t="str">
        <f>$AC$24</f>
        <v>12,255,128,255,192,113,224,112,224,112,224,112,224,113,192,127,192,127,192,112,224,112,112,112,112,112,112,112,240,255,224,255,192,//B//66</v>
      </c>
      <c r="AF28" t="s">
        <v>4</v>
      </c>
      <c r="BC28" s="1" t="str">
        <f>$BD$24</f>
        <v>12,63,192,127,224,240,240,224,112,224,0,224,0,224,0,224,0,224,0,224,0,224,0,224,0,224,112,240,240,127,224,63,192,//C//67</v>
      </c>
      <c r="BG28" t="s">
        <v>4</v>
      </c>
    </row>
    <row r="29" spans="1:79">
      <c r="A29" s="2" t="str">
        <f>$B$25</f>
        <v xml:space="preserve"> 0x0C, 0x3F, 0xC0, 0x7F, 0xE0, 0xE0, 0x70, 0xE0, 0x70, 0xE0, 0x70, 0xE0, 0x70, 0xE0, 0x70, 0xFF, 0xF0, 0xFF, 0xF0, 0xE0, 0x70, 0xE0, 0x70, 0xE0, 0x70, 0xE0, 0x70, 0xE0, 0x70, 0xE0, 0x70, 0xE0, 0x70,//A//65</v>
      </c>
      <c r="E29" t="s">
        <v>3</v>
      </c>
      <c r="AB29" s="2" t="str">
        <f>$AC$25</f>
        <v xml:space="preserve"> 0x0C, 0xFF, 0x80, 0xFF, 0xC0, 0x71, 0xE0, 0x70, 0xE0, 0x70, 0xE0, 0x70, 0xE0, 0x71, 0xC0, 0x7F, 0xC0, 0x7F, 0xC0, 0x70, 0xE0, 0x70, 0x70, 0x70, 0x70, 0x70, 0x70, 0x70, 0xF0, 0xFF, 0xE0, 0xFF, 0xC0,//B//66</v>
      </c>
      <c r="AF29" t="s">
        <v>3</v>
      </c>
      <c r="BC29" s="2" t="str">
        <f>$BD$25</f>
        <v xml:space="preserve"> 0x0C, 0x3F, 0xC0, 0x7F, 0xE0, 0xF0, 0xF0, 0xE0, 0x70, 0xE0, 0x00, 0xE0, 0x00, 0xE0, 0x00, 0xE0, 0x00, 0xE0, 0x00, 0xE0, 0x00, 0xE0, 0x00, 0xE0, 0x00, 0xE0, 0x70, 0xF0, 0xF0, 0x7F, 0xE0, 0x3F, 0xC0,//C//67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18:N19 H8:L12 E5:N5 H13:K15 M8:N17 G8:G17 L13:L17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7 N18 M18:M19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57" priority="11" operator="greaterThan">
      <formula>1</formula>
    </cfRule>
  </conditionalFormatting>
  <conditionalFormatting sqref="AH6:AO7 AH18:AO19 AF5:AO5 AF6:AG20 AH8:AM17 AH20:AI20 AK20:AM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19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56" priority="6" operator="greaterThan">
      <formula>1</formula>
    </cfRule>
  </conditionalFormatting>
  <conditionalFormatting sqref="BI6:BP7 BI18:BP19 BJ8:BN12 BG5:BP5 BJ13:BM15 BI8:BI17 BI20 BG6:BH20 BJ16:BK17 BN13:BN17 BO8:BP17 BN20:BP20 BL16:BM16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55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5"/>
  <dimension ref="A4:CB29"/>
  <sheetViews>
    <sheetView workbookViewId="0">
      <selection activeCell="L24" sqref="L24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68</v>
      </c>
      <c r="Z4" t="s">
        <v>5</v>
      </c>
      <c r="AB4" s="3">
        <v>69</v>
      </c>
      <c r="BA4" t="s">
        <v>5</v>
      </c>
      <c r="BC4" s="3">
        <v>70</v>
      </c>
      <c r="CB4" t="s">
        <v>5</v>
      </c>
    </row>
    <row r="5" spans="1:80">
      <c r="A5" s="3" t="s">
        <v>227</v>
      </c>
      <c r="B5" t="str">
        <f>Z5&amp;Y5&amp;BIN2HEX(D5,2)&amp;X5</f>
        <v xml:space="preserve"> 0xFF,</v>
      </c>
      <c r="C5" t="str">
        <f>Z5&amp;BIN2DEC(D5)&amp;X5</f>
        <v>255,</v>
      </c>
      <c r="D5" t="str">
        <f>E5&amp;F5&amp;G5&amp;H5&amp;I5&amp;J5&amp;K5&amp;L5</f>
        <v>11111111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11000000</v>
      </c>
      <c r="V5" t="str">
        <f>Z5&amp;BIN2DEC(U5)&amp;X5</f>
        <v>192,</v>
      </c>
      <c r="W5" t="str">
        <f>Z5&amp;Y5&amp;BIN2HEX(U5,2)&amp;X5</f>
        <v xml:space="preserve"> 0xC0,</v>
      </c>
      <c r="X5" t="s">
        <v>0</v>
      </c>
      <c r="Y5" t="s">
        <v>1</v>
      </c>
      <c r="AB5" s="3" t="s">
        <v>238</v>
      </c>
      <c r="AC5" t="str">
        <f>BA5&amp;AZ5&amp;BIN2HEX(AE5,2)&amp;AY5</f>
        <v xml:space="preserve"> 0xFF,</v>
      </c>
      <c r="AD5" t="str">
        <f>BA5&amp;BIN2DEC(AE5)&amp;AY5</f>
        <v>255,</v>
      </c>
      <c r="AE5" t="str">
        <f>AF5&amp;AG5&amp;AH5&amp;AI5&amp;AJ5&amp;AK5&amp;AL5&amp;AM5</f>
        <v>11111111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11110000</v>
      </c>
      <c r="AW5" t="str">
        <f>BA5&amp;BIN2DEC(AV5)&amp;AY5</f>
        <v>240,</v>
      </c>
      <c r="AX5" t="str">
        <f>BA5&amp;AZ5&amp;BIN2HEX(AV5,2)&amp;AY5</f>
        <v xml:space="preserve"> 0xF0,</v>
      </c>
      <c r="AY5" t="s">
        <v>0</v>
      </c>
      <c r="AZ5" t="s">
        <v>1</v>
      </c>
      <c r="BC5" s="3" t="s">
        <v>239</v>
      </c>
      <c r="BD5" t="str">
        <f>CB5&amp;CA5&amp;BIN2HEX(BF5,2)&amp;BZ5</f>
        <v xml:space="preserve"> 0xFF,</v>
      </c>
      <c r="BE5" t="str">
        <f>CB5&amp;BIN2DEC(BF5)&amp;BZ5</f>
        <v>255,</v>
      </c>
      <c r="BF5" t="str">
        <f>BG5&amp;BH5&amp;BI5&amp;BJ5&amp;BK5&amp;BL5&amp;BM5&amp;BN5</f>
        <v>11111111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11110000</v>
      </c>
      <c r="BX5" t="str">
        <f>CB5&amp;BIN2DEC(BW5)&amp;BZ5</f>
        <v>240,</v>
      </c>
      <c r="BY5" t="str">
        <f>CB5&amp;CA5&amp;BIN2HEX(BW5,2)&amp;BZ5</f>
        <v xml:space="preserve"> 0xF0,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0xFF,</v>
      </c>
      <c r="C6" t="str">
        <f t="shared" ref="C6:C20" si="1">Z6&amp;BIN2DEC(D6)&amp;X6</f>
        <v>255,</v>
      </c>
      <c r="D6" t="str">
        <f t="shared" ref="D6:D20" si="2">E6&amp;F6&amp;G6&amp;H6&amp;I6&amp;J6&amp;K6&amp;L6</f>
        <v>11111111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11100000</v>
      </c>
      <c r="V6" t="str">
        <f t="shared" ref="V6:V20" si="4">Z6&amp;BIN2DEC(U6)&amp;X6</f>
        <v>224,</v>
      </c>
      <c r="W6" t="str">
        <f t="shared" ref="W6:W20" si="5">Z6&amp;Y6&amp;BIN2HEX(U6,2)&amp;X6</f>
        <v xml:space="preserve"> 0xE0,</v>
      </c>
      <c r="X6" t="s">
        <v>0</v>
      </c>
      <c r="Y6" t="s">
        <v>1</v>
      </c>
      <c r="AC6" t="str">
        <f t="shared" ref="AC6:AC20" si="6">BA6&amp;AZ6&amp;BIN2HEX(AE6,2)&amp;AY6</f>
        <v xml:space="preserve"> 0xFF,</v>
      </c>
      <c r="AD6" t="str">
        <f t="shared" ref="AD6:AD20" si="7">BA6&amp;BIN2DEC(AE6)&amp;AY6</f>
        <v>255,</v>
      </c>
      <c r="AE6" t="str">
        <f t="shared" ref="AE6:AE20" si="8">AF6&amp;AG6&amp;AH6&amp;AI6&amp;AJ6&amp;AK6&amp;AL6&amp;AM6</f>
        <v>11111111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11110000</v>
      </c>
      <c r="AW6" t="str">
        <f t="shared" ref="AW6:AW20" si="10">BA6&amp;BIN2DEC(AV6)&amp;AY6</f>
        <v>240,</v>
      </c>
      <c r="AX6" t="str">
        <f t="shared" ref="AX6:AX20" si="11">BA6&amp;AZ6&amp;BIN2HEX(AV6,2)&amp;AY6</f>
        <v xml:space="preserve"> 0xF0,</v>
      </c>
      <c r="AY6" t="s">
        <v>0</v>
      </c>
      <c r="AZ6" t="s">
        <v>1</v>
      </c>
      <c r="BD6" t="str">
        <f t="shared" ref="BD6:BD20" si="12">CB6&amp;CA6&amp;BIN2HEX(BF6,2)&amp;BZ6</f>
        <v xml:space="preserve"> 0xFF,</v>
      </c>
      <c r="BE6" t="str">
        <f t="shared" ref="BE6:BE20" si="13">CB6&amp;BIN2DEC(BF6)&amp;BZ6</f>
        <v>255,</v>
      </c>
      <c r="BF6" t="str">
        <f t="shared" ref="BF6:BF20" si="14">BG6&amp;BH6&amp;BI6&amp;BJ6&amp;BK6&amp;BL6&amp;BM6&amp;BN6</f>
        <v>11111111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1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11110000</v>
      </c>
      <c r="BX6" t="str">
        <f t="shared" ref="BX6:BX20" si="16">CB6&amp;BIN2DEC(BW6)&amp;BZ6</f>
        <v>240,</v>
      </c>
      <c r="BY6" t="str">
        <f t="shared" ref="BY6:BY20" si="17">CB6&amp;CA6&amp;BIN2HEX(BW6,2)&amp;BZ6</f>
        <v xml:space="preserve"> 0xF0,</v>
      </c>
      <c r="BZ6" t="s">
        <v>0</v>
      </c>
      <c r="CA6" t="s">
        <v>1</v>
      </c>
    </row>
    <row r="7" spans="1:80">
      <c r="B7" t="str">
        <f t="shared" si="0"/>
        <v xml:space="preserve"> 0x70,</v>
      </c>
      <c r="C7" t="str">
        <f t="shared" si="1"/>
        <v>112,</v>
      </c>
      <c r="D7" t="str">
        <f t="shared" si="2"/>
        <v>01110000</v>
      </c>
      <c r="E7">
        <v>0</v>
      </c>
      <c r="F7">
        <v>1</v>
      </c>
      <c r="G7">
        <v>1</v>
      </c>
      <c r="H7">
        <v>1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0</v>
      </c>
      <c r="R7">
        <v>0</v>
      </c>
      <c r="S7">
        <v>0</v>
      </c>
      <c r="T7">
        <v>0</v>
      </c>
      <c r="U7" t="str">
        <f t="shared" si="3"/>
        <v>11110000</v>
      </c>
      <c r="V7" t="str">
        <f t="shared" si="4"/>
        <v>240,</v>
      </c>
      <c r="W7" t="str">
        <f t="shared" si="5"/>
        <v xml:space="preserve"> 0xF0,</v>
      </c>
      <c r="X7" t="s">
        <v>0</v>
      </c>
      <c r="Y7" t="s">
        <v>1</v>
      </c>
      <c r="AC7" t="str">
        <f t="shared" si="6"/>
        <v xml:space="preserve"> 0x70,</v>
      </c>
      <c r="AD7" t="str">
        <f t="shared" si="7"/>
        <v>112,</v>
      </c>
      <c r="AE7" t="str">
        <f t="shared" si="8"/>
        <v>01110000</v>
      </c>
      <c r="AF7">
        <v>0</v>
      </c>
      <c r="AG7">
        <v>1</v>
      </c>
      <c r="AH7">
        <v>1</v>
      </c>
      <c r="AI7">
        <v>1</v>
      </c>
      <c r="AJ7">
        <v>0</v>
      </c>
      <c r="AK7">
        <v>0</v>
      </c>
      <c r="AL7">
        <v>0</v>
      </c>
      <c r="AM7">
        <v>0</v>
      </c>
      <c r="AN7">
        <v>0</v>
      </c>
      <c r="AO7">
        <v>1</v>
      </c>
      <c r="AP7">
        <v>1</v>
      </c>
      <c r="AQ7">
        <v>1</v>
      </c>
      <c r="AR7">
        <v>0</v>
      </c>
      <c r="AS7">
        <v>0</v>
      </c>
      <c r="AT7">
        <v>0</v>
      </c>
      <c r="AU7">
        <v>0</v>
      </c>
      <c r="AV7" t="str">
        <f t="shared" si="9"/>
        <v>01110000</v>
      </c>
      <c r="AW7" t="str">
        <f t="shared" si="10"/>
        <v>112,</v>
      </c>
      <c r="AX7" t="str">
        <f t="shared" si="11"/>
        <v xml:space="preserve"> 0x70,</v>
      </c>
      <c r="AY7" t="s">
        <v>0</v>
      </c>
      <c r="AZ7" t="s">
        <v>1</v>
      </c>
      <c r="BD7" t="str">
        <f t="shared" si="12"/>
        <v xml:space="preserve"> 0x70,</v>
      </c>
      <c r="BE7" t="str">
        <f t="shared" si="13"/>
        <v>112,</v>
      </c>
      <c r="BF7" t="str">
        <f t="shared" si="14"/>
        <v>01110000</v>
      </c>
      <c r="BG7">
        <v>0</v>
      </c>
      <c r="BH7">
        <v>1</v>
      </c>
      <c r="BI7">
        <v>1</v>
      </c>
      <c r="BJ7">
        <v>1</v>
      </c>
      <c r="BK7">
        <v>0</v>
      </c>
      <c r="BL7">
        <v>0</v>
      </c>
      <c r="BM7">
        <v>0</v>
      </c>
      <c r="BN7">
        <v>0</v>
      </c>
      <c r="BO7">
        <v>0</v>
      </c>
      <c r="BP7">
        <v>1</v>
      </c>
      <c r="BQ7">
        <v>1</v>
      </c>
      <c r="BR7">
        <v>1</v>
      </c>
      <c r="BS7">
        <v>0</v>
      </c>
      <c r="BT7">
        <v>0</v>
      </c>
      <c r="BU7">
        <v>0</v>
      </c>
      <c r="BV7">
        <v>0</v>
      </c>
      <c r="BW7" t="str">
        <f t="shared" si="15"/>
        <v>01110000</v>
      </c>
      <c r="BX7" t="str">
        <f t="shared" si="16"/>
        <v>112,</v>
      </c>
      <c r="BY7" t="str">
        <f t="shared" si="17"/>
        <v xml:space="preserve"> 0x70,</v>
      </c>
      <c r="BZ7" t="s">
        <v>0</v>
      </c>
      <c r="CA7" t="s">
        <v>1</v>
      </c>
    </row>
    <row r="8" spans="1:80">
      <c r="B8" t="str">
        <f t="shared" si="0"/>
        <v xml:space="preserve"> 0x70,</v>
      </c>
      <c r="C8" t="str">
        <f t="shared" si="1"/>
        <v>112,</v>
      </c>
      <c r="D8" t="str">
        <f t="shared" si="2"/>
        <v>01110000</v>
      </c>
      <c r="E8">
        <v>0</v>
      </c>
      <c r="F8">
        <v>1</v>
      </c>
      <c r="G8">
        <v>1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0</v>
      </c>
      <c r="U8" t="str">
        <f t="shared" si="3"/>
        <v>01110000</v>
      </c>
      <c r="V8" t="str">
        <f t="shared" si="4"/>
        <v>112,</v>
      </c>
      <c r="W8" t="str">
        <f t="shared" si="5"/>
        <v xml:space="preserve"> 0x70,</v>
      </c>
      <c r="X8" t="s">
        <v>0</v>
      </c>
      <c r="Y8" t="s">
        <v>1</v>
      </c>
      <c r="AC8" t="str">
        <f t="shared" si="6"/>
        <v xml:space="preserve"> 0x70,</v>
      </c>
      <c r="AD8" t="str">
        <f t="shared" si="7"/>
        <v>112,</v>
      </c>
      <c r="AE8" t="str">
        <f t="shared" si="8"/>
        <v>01110000</v>
      </c>
      <c r="AF8">
        <v>0</v>
      </c>
      <c r="AG8">
        <v>1</v>
      </c>
      <c r="AH8">
        <v>1</v>
      </c>
      <c r="AI8">
        <v>1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0x70,</v>
      </c>
      <c r="BE8" t="str">
        <f t="shared" si="13"/>
        <v>112,</v>
      </c>
      <c r="BF8" t="str">
        <f t="shared" si="14"/>
        <v>01110000</v>
      </c>
      <c r="BG8">
        <v>0</v>
      </c>
      <c r="BH8">
        <v>1</v>
      </c>
      <c r="BI8">
        <v>1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0x70,</v>
      </c>
      <c r="C9" t="str">
        <f t="shared" si="1"/>
        <v>112,</v>
      </c>
      <c r="D9" t="str">
        <f t="shared" si="2"/>
        <v>01110000</v>
      </c>
      <c r="E9">
        <v>0</v>
      </c>
      <c r="F9">
        <v>1</v>
      </c>
      <c r="G9">
        <v>1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1</v>
      </c>
      <c r="O9">
        <v>1</v>
      </c>
      <c r="P9">
        <v>1</v>
      </c>
      <c r="Q9">
        <v>0</v>
      </c>
      <c r="R9">
        <v>0</v>
      </c>
      <c r="S9">
        <v>0</v>
      </c>
      <c r="T9">
        <v>0</v>
      </c>
      <c r="U9" t="str">
        <f t="shared" si="3"/>
        <v>01110000</v>
      </c>
      <c r="V9" t="str">
        <f t="shared" si="4"/>
        <v>112,</v>
      </c>
      <c r="W9" t="str">
        <f t="shared" si="5"/>
        <v xml:space="preserve"> 0x70,</v>
      </c>
      <c r="X9" t="s">
        <v>0</v>
      </c>
      <c r="Y9" t="s">
        <v>1</v>
      </c>
      <c r="AC9" t="str">
        <f t="shared" si="6"/>
        <v xml:space="preserve"> 0x70,</v>
      </c>
      <c r="AD9" t="str">
        <f t="shared" si="7"/>
        <v>112,</v>
      </c>
      <c r="AE9" t="str">
        <f t="shared" si="8"/>
        <v>01110000</v>
      </c>
      <c r="AF9">
        <v>0</v>
      </c>
      <c r="AG9">
        <v>1</v>
      </c>
      <c r="AH9">
        <v>1</v>
      </c>
      <c r="AI9">
        <v>1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0x70,</v>
      </c>
      <c r="BE9" t="str">
        <f t="shared" si="13"/>
        <v>112,</v>
      </c>
      <c r="BF9" t="str">
        <f t="shared" si="14"/>
        <v>01110000</v>
      </c>
      <c r="BG9">
        <v>0</v>
      </c>
      <c r="BH9">
        <v>1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0x70,</v>
      </c>
      <c r="C10" t="str">
        <f t="shared" si="1"/>
        <v>112,</v>
      </c>
      <c r="D10" t="str">
        <f t="shared" si="2"/>
        <v>01110000</v>
      </c>
      <c r="E10">
        <v>0</v>
      </c>
      <c r="F10">
        <v>1</v>
      </c>
      <c r="G10">
        <v>1</v>
      </c>
      <c r="H10">
        <v>1</v>
      </c>
      <c r="I10">
        <v>0</v>
      </c>
      <c r="J10">
        <v>0</v>
      </c>
      <c r="K10">
        <v>0</v>
      </c>
      <c r="L10">
        <v>0</v>
      </c>
      <c r="M10">
        <v>0</v>
      </c>
      <c r="N10">
        <v>1</v>
      </c>
      <c r="O10">
        <v>1</v>
      </c>
      <c r="P10">
        <v>1</v>
      </c>
      <c r="Q10">
        <v>0</v>
      </c>
      <c r="R10">
        <v>0</v>
      </c>
      <c r="S10">
        <v>0</v>
      </c>
      <c r="T10">
        <v>0</v>
      </c>
      <c r="U10" t="str">
        <f t="shared" si="3"/>
        <v>01110000</v>
      </c>
      <c r="V10" t="str">
        <f t="shared" si="4"/>
        <v>112,</v>
      </c>
      <c r="W10" t="str">
        <f t="shared" si="5"/>
        <v xml:space="preserve"> 0x70,</v>
      </c>
      <c r="X10" t="s">
        <v>0</v>
      </c>
      <c r="Y10" t="s">
        <v>1</v>
      </c>
      <c r="AC10" t="str">
        <f t="shared" si="6"/>
        <v xml:space="preserve"> 0x70,</v>
      </c>
      <c r="AD10" t="str">
        <f t="shared" si="7"/>
        <v>112,</v>
      </c>
      <c r="AE10" t="str">
        <f t="shared" si="8"/>
        <v>01110000</v>
      </c>
      <c r="AF10">
        <v>0</v>
      </c>
      <c r="AG10">
        <v>1</v>
      </c>
      <c r="AH10">
        <v>1</v>
      </c>
      <c r="AI10">
        <v>1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0x70,</v>
      </c>
      <c r="BE10" t="str">
        <f t="shared" si="13"/>
        <v>112,</v>
      </c>
      <c r="BF10" t="str">
        <f t="shared" si="14"/>
        <v>01110000</v>
      </c>
      <c r="BG10">
        <v>0</v>
      </c>
      <c r="BH10">
        <v>1</v>
      </c>
      <c r="BI10">
        <v>1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0x70,</v>
      </c>
      <c r="C11" t="str">
        <f t="shared" si="1"/>
        <v>112,</v>
      </c>
      <c r="D11" t="str">
        <f t="shared" si="2"/>
        <v>01110000</v>
      </c>
      <c r="E11">
        <v>0</v>
      </c>
      <c r="F11">
        <v>1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1</v>
      </c>
      <c r="O11">
        <v>1</v>
      </c>
      <c r="P11">
        <v>1</v>
      </c>
      <c r="Q11">
        <v>0</v>
      </c>
      <c r="R11">
        <v>0</v>
      </c>
      <c r="S11">
        <v>0</v>
      </c>
      <c r="T11">
        <v>0</v>
      </c>
      <c r="U11" t="str">
        <f t="shared" si="3"/>
        <v>01110000</v>
      </c>
      <c r="V11" t="str">
        <f t="shared" si="4"/>
        <v>112,</v>
      </c>
      <c r="W11" t="str">
        <f t="shared" si="5"/>
        <v xml:space="preserve"> 0x70,</v>
      </c>
      <c r="X11" t="s">
        <v>0</v>
      </c>
      <c r="Y11" t="s">
        <v>1</v>
      </c>
      <c r="AC11" t="str">
        <f t="shared" si="6"/>
        <v xml:space="preserve"> 0x70,</v>
      </c>
      <c r="AD11" t="str">
        <f t="shared" si="7"/>
        <v>112,</v>
      </c>
      <c r="AE11" t="str">
        <f t="shared" si="8"/>
        <v>01110000</v>
      </c>
      <c r="AF11">
        <v>0</v>
      </c>
      <c r="AG11">
        <v>1</v>
      </c>
      <c r="AH11">
        <v>1</v>
      </c>
      <c r="AI11">
        <v>1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0x70,</v>
      </c>
      <c r="BE11" t="str">
        <f t="shared" si="13"/>
        <v>112,</v>
      </c>
      <c r="BF11" t="str">
        <f t="shared" si="14"/>
        <v>01110000</v>
      </c>
      <c r="BG11">
        <v>0</v>
      </c>
      <c r="BH11">
        <v>1</v>
      </c>
      <c r="BI11">
        <v>1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0x70,</v>
      </c>
      <c r="C12" t="str">
        <f t="shared" si="1"/>
        <v>112,</v>
      </c>
      <c r="D12" t="str">
        <f t="shared" si="2"/>
        <v>01110000</v>
      </c>
      <c r="E12">
        <v>0</v>
      </c>
      <c r="F12">
        <v>1</v>
      </c>
      <c r="G12">
        <v>1</v>
      </c>
      <c r="H12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1</v>
      </c>
      <c r="O12">
        <v>1</v>
      </c>
      <c r="P12">
        <v>1</v>
      </c>
      <c r="Q12">
        <v>0</v>
      </c>
      <c r="R12">
        <v>0</v>
      </c>
      <c r="S12">
        <v>0</v>
      </c>
      <c r="T12">
        <v>0</v>
      </c>
      <c r="U12" t="str">
        <f t="shared" si="3"/>
        <v>01110000</v>
      </c>
      <c r="V12" t="str">
        <f t="shared" si="4"/>
        <v>112,</v>
      </c>
      <c r="W12" t="str">
        <f t="shared" si="5"/>
        <v xml:space="preserve"> 0x70,</v>
      </c>
      <c r="X12" t="s">
        <v>0</v>
      </c>
      <c r="Y12" t="s">
        <v>1</v>
      </c>
      <c r="AC12" t="str">
        <f t="shared" si="6"/>
        <v xml:space="preserve"> 0x7F,</v>
      </c>
      <c r="AD12" t="str">
        <f t="shared" si="7"/>
        <v>127,</v>
      </c>
      <c r="AE12" t="str">
        <f t="shared" si="8"/>
        <v>01111111</v>
      </c>
      <c r="AF12">
        <v>0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0x7F,</v>
      </c>
      <c r="BE12" t="str">
        <f t="shared" si="13"/>
        <v>127,</v>
      </c>
      <c r="BF12" t="str">
        <f t="shared" si="14"/>
        <v>01111111</v>
      </c>
      <c r="BG12">
        <v>0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0x70,</v>
      </c>
      <c r="C13" t="str">
        <f t="shared" si="1"/>
        <v>112,</v>
      </c>
      <c r="D13" t="str">
        <f t="shared" si="2"/>
        <v>01110000</v>
      </c>
      <c r="E13">
        <v>0</v>
      </c>
      <c r="F13">
        <v>1</v>
      </c>
      <c r="G13">
        <v>1</v>
      </c>
      <c r="H1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1</v>
      </c>
      <c r="O13">
        <v>1</v>
      </c>
      <c r="P13">
        <v>1</v>
      </c>
      <c r="Q13">
        <v>0</v>
      </c>
      <c r="R13">
        <v>0</v>
      </c>
      <c r="S13">
        <v>0</v>
      </c>
      <c r="T13">
        <v>0</v>
      </c>
      <c r="U13" t="str">
        <f t="shared" si="3"/>
        <v>01110000</v>
      </c>
      <c r="V13" t="str">
        <f t="shared" si="4"/>
        <v>112,</v>
      </c>
      <c r="W13" t="str">
        <f t="shared" si="5"/>
        <v xml:space="preserve"> 0x70,</v>
      </c>
      <c r="X13" t="s">
        <v>0</v>
      </c>
      <c r="Y13" t="s">
        <v>1</v>
      </c>
      <c r="AC13" t="str">
        <f t="shared" si="6"/>
        <v xml:space="preserve"> 0x7F,</v>
      </c>
      <c r="AD13" t="str">
        <f t="shared" si="7"/>
        <v>127,</v>
      </c>
      <c r="AE13" t="str">
        <f t="shared" si="8"/>
        <v>01111111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0x7F,</v>
      </c>
      <c r="BE13" t="str">
        <f t="shared" si="13"/>
        <v>127,</v>
      </c>
      <c r="BF13" t="str">
        <f t="shared" si="14"/>
        <v>01111111</v>
      </c>
      <c r="BG13">
        <v>0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0x70,</v>
      </c>
      <c r="C14" t="str">
        <f t="shared" si="1"/>
        <v>112,</v>
      </c>
      <c r="D14" t="str">
        <f t="shared" si="2"/>
        <v>01110000</v>
      </c>
      <c r="E14">
        <v>0</v>
      </c>
      <c r="F14">
        <v>1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1</v>
      </c>
      <c r="O14">
        <v>1</v>
      </c>
      <c r="P14">
        <v>1</v>
      </c>
      <c r="Q14">
        <v>0</v>
      </c>
      <c r="R14">
        <v>0</v>
      </c>
      <c r="S14">
        <v>0</v>
      </c>
      <c r="T14">
        <v>0</v>
      </c>
      <c r="U14" t="str">
        <f t="shared" si="3"/>
        <v>01110000</v>
      </c>
      <c r="V14" t="str">
        <f t="shared" si="4"/>
        <v>112,</v>
      </c>
      <c r="W14" t="str">
        <f t="shared" si="5"/>
        <v xml:space="preserve"> 0x70,</v>
      </c>
      <c r="X14" t="s">
        <v>0</v>
      </c>
      <c r="Y14" t="s">
        <v>1</v>
      </c>
      <c r="AC14" t="str">
        <f t="shared" si="6"/>
        <v xml:space="preserve"> 0x70,</v>
      </c>
      <c r="AD14" t="str">
        <f t="shared" si="7"/>
        <v>112,</v>
      </c>
      <c r="AE14" t="str">
        <f t="shared" si="8"/>
        <v>01110000</v>
      </c>
      <c r="AF14">
        <v>0</v>
      </c>
      <c r="AG14">
        <v>1</v>
      </c>
      <c r="AH14">
        <v>1</v>
      </c>
      <c r="AI14">
        <v>1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0x70,</v>
      </c>
      <c r="BE14" t="str">
        <f t="shared" si="13"/>
        <v>112,</v>
      </c>
      <c r="BF14" t="str">
        <f t="shared" si="14"/>
        <v>01110000</v>
      </c>
      <c r="BG14">
        <v>0</v>
      </c>
      <c r="BH14">
        <v>1</v>
      </c>
      <c r="BI14">
        <v>1</v>
      </c>
      <c r="BJ14">
        <v>1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0x70,</v>
      </c>
      <c r="C15" t="str">
        <f t="shared" si="1"/>
        <v>112,</v>
      </c>
      <c r="D15" t="str">
        <f t="shared" si="2"/>
        <v>01110000</v>
      </c>
      <c r="E15">
        <v>0</v>
      </c>
      <c r="F15">
        <v>1</v>
      </c>
      <c r="G15">
        <v>1</v>
      </c>
      <c r="H15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1</v>
      </c>
      <c r="P15">
        <v>1</v>
      </c>
      <c r="Q15">
        <v>0</v>
      </c>
      <c r="R15">
        <v>0</v>
      </c>
      <c r="S15">
        <v>0</v>
      </c>
      <c r="T15">
        <v>0</v>
      </c>
      <c r="U15" t="str">
        <f t="shared" si="3"/>
        <v>01110000</v>
      </c>
      <c r="V15" t="str">
        <f t="shared" si="4"/>
        <v>112,</v>
      </c>
      <c r="W15" t="str">
        <f t="shared" si="5"/>
        <v xml:space="preserve"> 0x70,</v>
      </c>
      <c r="X15" t="s">
        <v>0</v>
      </c>
      <c r="Y15" t="s">
        <v>1</v>
      </c>
      <c r="AC15" t="str">
        <f t="shared" si="6"/>
        <v xml:space="preserve"> 0x70,</v>
      </c>
      <c r="AD15" t="str">
        <f t="shared" si="7"/>
        <v>112,</v>
      </c>
      <c r="AE15" t="str">
        <f t="shared" si="8"/>
        <v>01110000</v>
      </c>
      <c r="AF15">
        <v>0</v>
      </c>
      <c r="AG15">
        <v>1</v>
      </c>
      <c r="AH15">
        <v>1</v>
      </c>
      <c r="AI15">
        <v>1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0x70,</v>
      </c>
      <c r="BE15" t="str">
        <f t="shared" si="13"/>
        <v>112,</v>
      </c>
      <c r="BF15" t="str">
        <f t="shared" si="14"/>
        <v>01110000</v>
      </c>
      <c r="BG15">
        <v>0</v>
      </c>
      <c r="BH15">
        <v>1</v>
      </c>
      <c r="BI15">
        <v>1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0x70,</v>
      </c>
      <c r="C16" t="str">
        <f t="shared" si="1"/>
        <v>112,</v>
      </c>
      <c r="D16" t="str">
        <f t="shared" si="2"/>
        <v>01110000</v>
      </c>
      <c r="E16">
        <v>0</v>
      </c>
      <c r="F16">
        <v>1</v>
      </c>
      <c r="G16">
        <v>1</v>
      </c>
      <c r="H16">
        <v>1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1</v>
      </c>
      <c r="P16">
        <v>1</v>
      </c>
      <c r="Q16">
        <v>0</v>
      </c>
      <c r="R16">
        <v>0</v>
      </c>
      <c r="S16">
        <v>0</v>
      </c>
      <c r="T16">
        <v>0</v>
      </c>
      <c r="U16" t="str">
        <f t="shared" si="3"/>
        <v>01110000</v>
      </c>
      <c r="V16" t="str">
        <f t="shared" si="4"/>
        <v>112,</v>
      </c>
      <c r="W16" t="str">
        <f t="shared" si="5"/>
        <v xml:space="preserve"> 0x70,</v>
      </c>
      <c r="X16" t="s">
        <v>0</v>
      </c>
      <c r="Y16" t="s">
        <v>1</v>
      </c>
      <c r="AC16" t="str">
        <f t="shared" si="6"/>
        <v xml:space="preserve"> 0x70,</v>
      </c>
      <c r="AD16" t="str">
        <f t="shared" si="7"/>
        <v>112,</v>
      </c>
      <c r="AE16" t="str">
        <f t="shared" si="8"/>
        <v>01110000</v>
      </c>
      <c r="AF16">
        <v>0</v>
      </c>
      <c r="AG16">
        <v>1</v>
      </c>
      <c r="AH16">
        <v>1</v>
      </c>
      <c r="AI16">
        <v>1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0x70,</v>
      </c>
      <c r="BE16" t="str">
        <f t="shared" si="13"/>
        <v>112,</v>
      </c>
      <c r="BF16" t="str">
        <f t="shared" si="14"/>
        <v>01110000</v>
      </c>
      <c r="BG16">
        <v>0</v>
      </c>
      <c r="BH16">
        <v>1</v>
      </c>
      <c r="BI16">
        <v>1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0x70,</v>
      </c>
      <c r="C17" t="str">
        <f t="shared" si="1"/>
        <v>112,</v>
      </c>
      <c r="D17" t="str">
        <f t="shared" si="2"/>
        <v>01110000</v>
      </c>
      <c r="E17">
        <v>0</v>
      </c>
      <c r="F17">
        <v>1</v>
      </c>
      <c r="G17">
        <v>1</v>
      </c>
      <c r="H17">
        <v>1</v>
      </c>
      <c r="I17">
        <v>0</v>
      </c>
      <c r="J17">
        <v>0</v>
      </c>
      <c r="K17">
        <v>0</v>
      </c>
      <c r="L17">
        <v>0</v>
      </c>
      <c r="M17">
        <v>0</v>
      </c>
      <c r="N17">
        <v>1</v>
      </c>
      <c r="O17">
        <v>1</v>
      </c>
      <c r="P17">
        <v>1</v>
      </c>
      <c r="Q17">
        <v>0</v>
      </c>
      <c r="R17">
        <v>0</v>
      </c>
      <c r="S17">
        <v>0</v>
      </c>
      <c r="T17">
        <v>0</v>
      </c>
      <c r="U17" t="str">
        <f t="shared" si="3"/>
        <v>01110000</v>
      </c>
      <c r="V17" t="str">
        <f t="shared" si="4"/>
        <v>112,</v>
      </c>
      <c r="W17" t="str">
        <f t="shared" si="5"/>
        <v xml:space="preserve"> 0x70,</v>
      </c>
      <c r="X17" t="s">
        <v>0</v>
      </c>
      <c r="Y17" t="s">
        <v>1</v>
      </c>
      <c r="AC17" t="str">
        <f t="shared" si="6"/>
        <v xml:space="preserve"> 0x70,</v>
      </c>
      <c r="AD17" t="str">
        <f t="shared" si="7"/>
        <v>112,</v>
      </c>
      <c r="AE17" t="str">
        <f t="shared" si="8"/>
        <v>01110000</v>
      </c>
      <c r="AF17">
        <v>0</v>
      </c>
      <c r="AG17">
        <v>1</v>
      </c>
      <c r="AH17">
        <v>1</v>
      </c>
      <c r="AI17">
        <v>1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0x70,</v>
      </c>
      <c r="BE17" t="str">
        <f t="shared" si="13"/>
        <v>112,</v>
      </c>
      <c r="BF17" t="str">
        <f t="shared" si="14"/>
        <v>01110000</v>
      </c>
      <c r="BG17">
        <v>0</v>
      </c>
      <c r="BH17">
        <v>1</v>
      </c>
      <c r="BI17">
        <v>1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0x70,</v>
      </c>
      <c r="C18" t="str">
        <f t="shared" si="1"/>
        <v>112,</v>
      </c>
      <c r="D18" t="str">
        <f t="shared" si="2"/>
        <v>01110000</v>
      </c>
      <c r="E18">
        <v>0</v>
      </c>
      <c r="F18">
        <v>1</v>
      </c>
      <c r="G18">
        <v>1</v>
      </c>
      <c r="H18">
        <v>1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0</v>
      </c>
      <c r="T18">
        <v>0</v>
      </c>
      <c r="U18" t="str">
        <f t="shared" si="3"/>
        <v>11110000</v>
      </c>
      <c r="V18" t="str">
        <f t="shared" si="4"/>
        <v>240,</v>
      </c>
      <c r="W18" t="str">
        <f t="shared" si="5"/>
        <v xml:space="preserve"> 0xF0,</v>
      </c>
      <c r="X18" t="s">
        <v>0</v>
      </c>
      <c r="Y18" t="s">
        <v>1</v>
      </c>
      <c r="AC18" t="str">
        <f t="shared" si="6"/>
        <v xml:space="preserve"> 0x70,</v>
      </c>
      <c r="AD18" t="str">
        <f t="shared" si="7"/>
        <v>112,</v>
      </c>
      <c r="AE18" t="str">
        <f t="shared" si="8"/>
        <v>01110000</v>
      </c>
      <c r="AF18">
        <v>0</v>
      </c>
      <c r="AG18">
        <v>1</v>
      </c>
      <c r="AH18">
        <v>1</v>
      </c>
      <c r="AI18">
        <v>1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1</v>
      </c>
      <c r="AP18">
        <v>1</v>
      </c>
      <c r="AQ18">
        <v>1</v>
      </c>
      <c r="AR18">
        <v>0</v>
      </c>
      <c r="AS18">
        <v>0</v>
      </c>
      <c r="AT18">
        <v>0</v>
      </c>
      <c r="AU18">
        <v>0</v>
      </c>
      <c r="AV18" t="str">
        <f t="shared" si="9"/>
        <v>01110000</v>
      </c>
      <c r="AW18" t="str">
        <f t="shared" si="10"/>
        <v>112,</v>
      </c>
      <c r="AX18" t="str">
        <f t="shared" si="11"/>
        <v xml:space="preserve"> 0x70,</v>
      </c>
      <c r="AY18" t="s">
        <v>0</v>
      </c>
      <c r="AZ18" t="s">
        <v>1</v>
      </c>
      <c r="BD18" t="str">
        <f t="shared" si="12"/>
        <v xml:space="preserve"> 0x70,</v>
      </c>
      <c r="BE18" t="str">
        <f t="shared" si="13"/>
        <v>112,</v>
      </c>
      <c r="BF18" t="str">
        <f t="shared" si="14"/>
        <v>01110000</v>
      </c>
      <c r="BG18">
        <v>0</v>
      </c>
      <c r="BH18">
        <v>1</v>
      </c>
      <c r="BI18">
        <v>1</v>
      </c>
      <c r="BJ18">
        <v>1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0xFF,</v>
      </c>
      <c r="C19" t="str">
        <f t="shared" si="1"/>
        <v>255,</v>
      </c>
      <c r="D19" t="str">
        <f t="shared" si="2"/>
        <v>11111111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11100000</v>
      </c>
      <c r="V19" t="str">
        <f t="shared" si="4"/>
        <v>224,</v>
      </c>
      <c r="W19" t="str">
        <f t="shared" si="5"/>
        <v xml:space="preserve"> 0xE0,</v>
      </c>
      <c r="X19" t="s">
        <v>0</v>
      </c>
      <c r="Y19" t="s">
        <v>1</v>
      </c>
      <c r="AC19" t="str">
        <f t="shared" si="6"/>
        <v xml:space="preserve"> 0xFF,</v>
      </c>
      <c r="AD19" t="str">
        <f t="shared" si="7"/>
        <v>255,</v>
      </c>
      <c r="AE19" t="str">
        <f t="shared" si="8"/>
        <v>11111111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0</v>
      </c>
      <c r="AS19">
        <v>0</v>
      </c>
      <c r="AT19">
        <v>0</v>
      </c>
      <c r="AU19">
        <v>0</v>
      </c>
      <c r="AV19" t="str">
        <f t="shared" si="9"/>
        <v>11110000</v>
      </c>
      <c r="AW19" t="str">
        <f t="shared" si="10"/>
        <v>240,</v>
      </c>
      <c r="AX19" t="str">
        <f t="shared" si="11"/>
        <v xml:space="preserve"> 0xF0,</v>
      </c>
      <c r="AY19" t="s">
        <v>0</v>
      </c>
      <c r="AZ19" t="s">
        <v>1</v>
      </c>
      <c r="BD19" t="str">
        <f t="shared" si="12"/>
        <v xml:space="preserve"> 0x70,</v>
      </c>
      <c r="BE19" t="str">
        <f t="shared" si="13"/>
        <v>112,</v>
      </c>
      <c r="BF19" t="str">
        <f t="shared" si="14"/>
        <v>01110000</v>
      </c>
      <c r="BG19">
        <v>0</v>
      </c>
      <c r="BH19">
        <v>1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0xFF,</v>
      </c>
      <c r="C20" t="str">
        <f t="shared" si="1"/>
        <v>255,</v>
      </c>
      <c r="D20" t="str">
        <f t="shared" si="2"/>
        <v>11111111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11000000</v>
      </c>
      <c r="V20" t="str">
        <f t="shared" si="4"/>
        <v>192,</v>
      </c>
      <c r="W20" t="str">
        <f t="shared" si="5"/>
        <v xml:space="preserve"> 0xC0,</v>
      </c>
      <c r="X20" t="s">
        <v>0</v>
      </c>
      <c r="Y20" t="s">
        <v>1</v>
      </c>
      <c r="AC20" t="str">
        <f t="shared" si="6"/>
        <v xml:space="preserve"> 0xFF,</v>
      </c>
      <c r="AD20" t="str">
        <f t="shared" si="7"/>
        <v>255,</v>
      </c>
      <c r="AE20" t="str">
        <f t="shared" si="8"/>
        <v>11111111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0</v>
      </c>
      <c r="AS20">
        <v>0</v>
      </c>
      <c r="AT20">
        <v>0</v>
      </c>
      <c r="AU20">
        <v>0</v>
      </c>
      <c r="AV20" t="str">
        <f t="shared" si="9"/>
        <v>11110000</v>
      </c>
      <c r="AW20" t="str">
        <f t="shared" si="10"/>
        <v>240,</v>
      </c>
      <c r="AX20" t="str">
        <f t="shared" si="11"/>
        <v xml:space="preserve"> 0xF0,</v>
      </c>
      <c r="AY20" t="s">
        <v>0</v>
      </c>
      <c r="AZ20" t="s">
        <v>1</v>
      </c>
      <c r="BD20" t="str">
        <f t="shared" si="12"/>
        <v xml:space="preserve"> 0x70,</v>
      </c>
      <c r="BE20" t="str">
        <f t="shared" si="13"/>
        <v>112,</v>
      </c>
      <c r="BF20" t="str">
        <f t="shared" si="14"/>
        <v>01110000</v>
      </c>
      <c r="BG20">
        <v>0</v>
      </c>
      <c r="BH20">
        <v>1</v>
      </c>
      <c r="BI20">
        <v>1</v>
      </c>
      <c r="BJ20">
        <v>1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1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12,</v>
      </c>
      <c r="V22" t="str">
        <f>Y20&amp;DEC2HEX(U22,2)&amp;X20</f>
        <v xml:space="preserve"> 0x0C,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1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12,</v>
      </c>
      <c r="AW22" t="str">
        <f>AZ20&amp;DEC2HEX(AV22,2)&amp;AY20</f>
        <v xml:space="preserve"> 0x0C,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1</v>
      </c>
      <c r="BR22">
        <f t="shared" si="20"/>
        <v>1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12,</v>
      </c>
      <c r="BX22" t="str">
        <f>CA20&amp;DEC2HEX(BW22,2)&amp;BZ20</f>
        <v xml:space="preserve"> 0x0C,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12,255,192,255,224,112,240,112,112,112,112,112,112,112,112,112,112,112,112,112,112,112,112,112,112,112,112,112,240,255,224,255,192,//D//68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12,255,240,255,240,112,112,112,0,112,0,112,0,112,0,127,0,127,0,112,0,112,0,112,0,112,0,112,112,255,240,255,240,//E//69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12,255,240,255,240,112,112,112,0,112,0,112,0,112,0,127,0,127,0,112,0,112,0,112,0,112,0,112,0,112,0,112,0,//F//70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0x0C, 0xFF, 0xC0, 0xFF, 0xE0, 0x70, 0xF0, 0x70, 0x70, 0x70, 0x70, 0x70, 0x70, 0x70, 0x70, 0x70, 0x70, 0x70, 0x70, 0x70, 0x70, 0x70, 0x70, 0x70, 0x70, 0x70, 0x70, 0x70, 0xF0, 0xFF, 0xE0, 0xFF, 0xC0,//D//68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0x0C, 0xFF, 0xF0, 0xFF, 0xF0, 0x70, 0x70, 0x70, 0x00, 0x70, 0x00, 0x70, 0x00, 0x70, 0x00, 0x7F, 0x00, 0x7F, 0x00, 0x70, 0x00, 0x70, 0x00, 0x70, 0x00, 0x70, 0x00, 0x70, 0x70, 0xFF, 0xF0, 0xFF, 0xF0,//E//69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0x0C, 0xFF, 0xF0, 0xFF, 0xF0, 0x70, 0x70, 0x70, 0x00, 0x70, 0x00, 0x70, 0x00, 0x70, 0x00, 0x7F, 0x00, 0x7F, 0x00, 0x70, 0x00, 0x70, 0x00, 0x70, 0x00, 0x70, 0x00, 0x70, 0x00, 0x70, 0x00, 0x70, 0x00,//F//70</v>
      </c>
    </row>
    <row r="28" spans="1:79">
      <c r="A28" s="1" t="str">
        <f>$B$24</f>
        <v>12,255,192,255,224,112,240,112,112,112,112,112,112,112,112,112,112,112,112,112,112,112,112,112,112,112,112,112,240,255,224,255,192,//D//68</v>
      </c>
      <c r="E28" t="s">
        <v>4</v>
      </c>
      <c r="AB28" s="1" t="str">
        <f>$AC$24</f>
        <v>12,255,240,255,240,112,112,112,0,112,0,112,0,112,0,127,0,127,0,112,0,112,0,112,0,112,0,112,112,255,240,255,240,//E//69</v>
      </c>
      <c r="AF28" t="s">
        <v>4</v>
      </c>
      <c r="BC28" s="1" t="str">
        <f>$BD$24</f>
        <v>12,255,240,255,240,112,112,112,0,112,0,112,0,112,0,127,0,127,0,112,0,112,0,112,0,112,0,112,0,112,0,112,0,//F//70</v>
      </c>
      <c r="BG28" t="s">
        <v>4</v>
      </c>
    </row>
    <row r="29" spans="1:79">
      <c r="A29" s="2" t="str">
        <f>$B$25</f>
        <v xml:space="preserve"> 0x0C, 0xFF, 0xC0, 0xFF, 0xE0, 0x70, 0xF0, 0x70, 0x70, 0x70, 0x70, 0x70, 0x70, 0x70, 0x70, 0x70, 0x70, 0x70, 0x70, 0x70, 0x70, 0x70, 0x70, 0x70, 0x70, 0x70, 0x70, 0x70, 0xF0, 0xFF, 0xE0, 0xFF, 0xC0,//D//68</v>
      </c>
      <c r="E29" t="s">
        <v>3</v>
      </c>
      <c r="AB29" s="2" t="str">
        <f>$AC$25</f>
        <v xml:space="preserve"> 0x0C, 0xFF, 0xF0, 0xFF, 0xF0, 0x70, 0x70, 0x70, 0x00, 0x70, 0x00, 0x70, 0x00, 0x70, 0x00, 0x7F, 0x00, 0x7F, 0x00, 0x70, 0x00, 0x70, 0x00, 0x70, 0x00, 0x70, 0x00, 0x70, 0x70, 0xFF, 0xF0, 0xFF, 0xF0,//E//69</v>
      </c>
      <c r="AF29" t="s">
        <v>3</v>
      </c>
      <c r="BC29" s="2" t="str">
        <f>$BD$25</f>
        <v xml:space="preserve"> 0x0C, 0xFF, 0xF0, 0xFF, 0xF0, 0x70, 0x70, 0x70, 0x00, 0x70, 0x00, 0x70, 0x00, 0x70, 0x00, 0x7F, 0x00, 0x7F, 0x00, 0x70, 0x00, 0x70, 0x00, 0x70, 0x00, 0x70, 0x00, 0x70, 0x00, 0x70, 0x00, 0x70, 0x00,//F//70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E5:N5 E6:F20 G8:L17 G20:L20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9 O13:O16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54" priority="11" operator="greaterThan">
      <formula>1</formula>
    </cfRule>
  </conditionalFormatting>
  <conditionalFormatting sqref="AH6:AO7 AH18:AO19 AI8:AM12 AF5:AO5 AI13:AL15 AF6:AG20 AH8:AH17 AH20 AI16 AM13:AM17 AN8:AO17 AM20:AO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53" priority="6" operator="greaterThan">
      <formula>1</formula>
    </cfRule>
  </conditionalFormatting>
  <conditionalFormatting sqref="BG6:BH20 BI6:BP7 BJ13:BM13 BJ8:BN12 BG5:BP5 BK14:BM16 BI8:BI13 BI14:BJ17 BN13:BN17 BO8:BP17 BI18:BP20 BL17:BM17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3:BN17 BG18:BP20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52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4"/>
  <dimension ref="A4:CB29"/>
  <sheetViews>
    <sheetView workbookViewId="0">
      <selection activeCell="Q31" sqref="Q31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71</v>
      </c>
      <c r="Z4" t="s">
        <v>5</v>
      </c>
      <c r="AB4" s="3">
        <v>72</v>
      </c>
      <c r="BA4" t="s">
        <v>5</v>
      </c>
      <c r="BC4" s="3">
        <v>73</v>
      </c>
      <c r="CB4" t="s">
        <v>5</v>
      </c>
    </row>
    <row r="5" spans="1:80">
      <c r="A5" s="3" t="s">
        <v>240</v>
      </c>
      <c r="B5" t="str">
        <f>Z5&amp;Y5&amp;BIN2HEX(D5,2)&amp;X5</f>
        <v xml:space="preserve"> 0x3F,</v>
      </c>
      <c r="C5" t="str">
        <f>Z5&amp;BIN2DEC(D5)&amp;X5</f>
        <v>63,</v>
      </c>
      <c r="D5" t="str">
        <f>E5&amp;F5&amp;G5&amp;H5&amp;I5&amp;J5&amp;K5&amp;L5</f>
        <v>00111111</v>
      </c>
      <c r="E5">
        <v>0</v>
      </c>
      <c r="F5">
        <v>0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11000000</v>
      </c>
      <c r="V5" t="str">
        <f>Z5&amp;BIN2DEC(U5)&amp;X5</f>
        <v>192,</v>
      </c>
      <c r="W5" t="str">
        <f>Z5&amp;Y5&amp;BIN2HEX(U5,2)&amp;X5</f>
        <v xml:space="preserve"> 0xC0,</v>
      </c>
      <c r="X5" t="s">
        <v>0</v>
      </c>
      <c r="Y5" t="s">
        <v>1</v>
      </c>
      <c r="AB5" s="3" t="s">
        <v>241</v>
      </c>
      <c r="AC5" t="str">
        <f>BA5&amp;AZ5&amp;BIN2HEX(AE5,2)&amp;AY5</f>
        <v xml:space="preserve"> 0xE0,</v>
      </c>
      <c r="AD5" t="str">
        <f>BA5&amp;BIN2DEC(AE5)&amp;AY5</f>
        <v>224,</v>
      </c>
      <c r="AE5" t="str">
        <f>AF5&amp;AG5&amp;AH5&amp;AI5&amp;AJ5&amp;AK5&amp;AL5&amp;AM5</f>
        <v>11100000</v>
      </c>
      <c r="AF5">
        <v>1</v>
      </c>
      <c r="AG5">
        <v>1</v>
      </c>
      <c r="AH5">
        <v>1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1</v>
      </c>
      <c r="AP5">
        <v>1</v>
      </c>
      <c r="AQ5">
        <v>1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01110000</v>
      </c>
      <c r="AW5" t="str">
        <f>BA5&amp;BIN2DEC(AV5)&amp;AY5</f>
        <v>112,</v>
      </c>
      <c r="AX5" t="str">
        <f>BA5&amp;AZ5&amp;BIN2HEX(AV5,2)&amp;AY5</f>
        <v xml:space="preserve"> 0x70,</v>
      </c>
      <c r="AY5" t="s">
        <v>0</v>
      </c>
      <c r="AZ5" t="s">
        <v>1</v>
      </c>
      <c r="BC5" s="3" t="s">
        <v>242</v>
      </c>
      <c r="BD5" t="str">
        <f>CB5&amp;CA5&amp;BIN2HEX(BF5,2)&amp;BZ5</f>
        <v xml:space="preserve"> 0xFE,</v>
      </c>
      <c r="BE5" t="str">
        <f>CB5&amp;BIN2DEC(BF5)&amp;BZ5</f>
        <v>254,</v>
      </c>
      <c r="BF5" t="str">
        <f>BG5&amp;BH5&amp;BI5&amp;BJ5&amp;BK5&amp;BL5&amp;BM5&amp;BN5</f>
        <v>11111110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0x7F,</v>
      </c>
      <c r="C6" t="str">
        <f t="shared" ref="C6:C20" si="1">Z6&amp;BIN2DEC(D6)&amp;X6</f>
        <v>127,</v>
      </c>
      <c r="D6" t="str">
        <f t="shared" ref="D6:D20" si="2">E6&amp;F6&amp;G6&amp;H6&amp;I6&amp;J6&amp;K6&amp;L6</f>
        <v>01111111</v>
      </c>
      <c r="E6">
        <v>0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11100000</v>
      </c>
      <c r="V6" t="str">
        <f t="shared" ref="V6:V20" si="4">Z6&amp;BIN2DEC(U6)&amp;X6</f>
        <v>224,</v>
      </c>
      <c r="W6" t="str">
        <f t="shared" ref="W6:W20" si="5">Z6&amp;Y6&amp;BIN2HEX(U6,2)&amp;X6</f>
        <v xml:space="preserve"> 0xE0,</v>
      </c>
      <c r="X6" t="s">
        <v>0</v>
      </c>
      <c r="Y6" t="s">
        <v>1</v>
      </c>
      <c r="AC6" t="str">
        <f t="shared" ref="AC6:AC20" si="6">BA6&amp;AZ6&amp;BIN2HEX(AE6,2)&amp;AY6</f>
        <v xml:space="preserve"> 0xE0,</v>
      </c>
      <c r="AD6" t="str">
        <f t="shared" ref="AD6:AD20" si="7">BA6&amp;BIN2DEC(AE6)&amp;AY6</f>
        <v>224,</v>
      </c>
      <c r="AE6" t="str">
        <f t="shared" ref="AE6:AE20" si="8">AF6&amp;AG6&amp;AH6&amp;AI6&amp;AJ6&amp;AK6&amp;AL6&amp;AM6</f>
        <v>11100000</v>
      </c>
      <c r="AF6">
        <v>1</v>
      </c>
      <c r="AG6">
        <v>1</v>
      </c>
      <c r="AH6">
        <v>1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1</v>
      </c>
      <c r="AP6">
        <v>1</v>
      </c>
      <c r="AQ6">
        <v>1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01110000</v>
      </c>
      <c r="AW6" t="str">
        <f t="shared" ref="AW6:AW20" si="10">BA6&amp;BIN2DEC(AV6)&amp;AY6</f>
        <v>112,</v>
      </c>
      <c r="AX6" t="str">
        <f t="shared" ref="AX6:AX20" si="11">BA6&amp;AZ6&amp;BIN2HEX(AV6,2)&amp;AY6</f>
        <v xml:space="preserve"> 0x70,</v>
      </c>
      <c r="AY6" t="s">
        <v>0</v>
      </c>
      <c r="AZ6" t="s">
        <v>1</v>
      </c>
      <c r="BD6" t="str">
        <f t="shared" ref="BD6:BD20" si="12">CB6&amp;CA6&amp;BIN2HEX(BF6,2)&amp;BZ6</f>
        <v xml:space="preserve"> 0xFE,</v>
      </c>
      <c r="BE6" t="str">
        <f t="shared" ref="BE6:BE20" si="13">CB6&amp;BIN2DEC(BF6)&amp;BZ6</f>
        <v>254,</v>
      </c>
      <c r="BF6" t="str">
        <f t="shared" ref="BF6:BF20" si="14">BG6&amp;BH6&amp;BI6&amp;BJ6&amp;BK6&amp;BL6&amp;BM6&amp;BN6</f>
        <v>11111110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0xF0,</v>
      </c>
      <c r="C7" t="str">
        <f t="shared" si="1"/>
        <v>240,</v>
      </c>
      <c r="D7" t="str">
        <f t="shared" si="2"/>
        <v>11110000</v>
      </c>
      <c r="E7">
        <v>1</v>
      </c>
      <c r="F7">
        <v>1</v>
      </c>
      <c r="G7">
        <v>1</v>
      </c>
      <c r="H7">
        <v>1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0</v>
      </c>
      <c r="R7">
        <v>0</v>
      </c>
      <c r="S7">
        <v>0</v>
      </c>
      <c r="T7">
        <v>0</v>
      </c>
      <c r="U7" t="str">
        <f t="shared" si="3"/>
        <v>11110000</v>
      </c>
      <c r="V7" t="str">
        <f t="shared" si="4"/>
        <v>240,</v>
      </c>
      <c r="W7" t="str">
        <f t="shared" si="5"/>
        <v xml:space="preserve"> 0xF0,</v>
      </c>
      <c r="X7" t="s">
        <v>0</v>
      </c>
      <c r="Y7" t="s">
        <v>1</v>
      </c>
      <c r="AC7" t="str">
        <f t="shared" si="6"/>
        <v xml:space="preserve"> 0xE0,</v>
      </c>
      <c r="AD7" t="str">
        <f t="shared" si="7"/>
        <v>224,</v>
      </c>
      <c r="AE7" t="str">
        <f t="shared" si="8"/>
        <v>11100000</v>
      </c>
      <c r="AF7">
        <v>1</v>
      </c>
      <c r="AG7">
        <v>1</v>
      </c>
      <c r="AH7">
        <v>1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1</v>
      </c>
      <c r="AP7">
        <v>1</v>
      </c>
      <c r="AQ7">
        <v>1</v>
      </c>
      <c r="AR7">
        <v>0</v>
      </c>
      <c r="AS7">
        <v>0</v>
      </c>
      <c r="AT7">
        <v>0</v>
      </c>
      <c r="AU7">
        <v>0</v>
      </c>
      <c r="AV7" t="str">
        <f t="shared" si="9"/>
        <v>01110000</v>
      </c>
      <c r="AW7" t="str">
        <f t="shared" si="10"/>
        <v>112,</v>
      </c>
      <c r="AX7" t="str">
        <f t="shared" si="11"/>
        <v xml:space="preserve"> 0x70,</v>
      </c>
      <c r="AY7" t="s">
        <v>0</v>
      </c>
      <c r="AZ7" t="s">
        <v>1</v>
      </c>
      <c r="BD7" t="str">
        <f t="shared" si="12"/>
        <v xml:space="preserve"> 0x38,</v>
      </c>
      <c r="BE7" t="str">
        <f t="shared" si="13"/>
        <v>56,</v>
      </c>
      <c r="BF7" t="str">
        <f t="shared" si="14"/>
        <v>00111000</v>
      </c>
      <c r="BG7">
        <v>0</v>
      </c>
      <c r="BH7">
        <v>0</v>
      </c>
      <c r="BI7">
        <v>1</v>
      </c>
      <c r="BJ7">
        <v>1</v>
      </c>
      <c r="BK7">
        <v>1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0xE0,</v>
      </c>
      <c r="C8" t="str">
        <f t="shared" si="1"/>
        <v>224,</v>
      </c>
      <c r="D8" t="str">
        <f t="shared" si="2"/>
        <v>11100000</v>
      </c>
      <c r="E8">
        <v>1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0</v>
      </c>
      <c r="U8" t="str">
        <f t="shared" si="3"/>
        <v>01110000</v>
      </c>
      <c r="V8" t="str">
        <f t="shared" si="4"/>
        <v>112,</v>
      </c>
      <c r="W8" t="str">
        <f t="shared" si="5"/>
        <v xml:space="preserve"> 0x70,</v>
      </c>
      <c r="X8" t="s">
        <v>0</v>
      </c>
      <c r="Y8" t="s">
        <v>1</v>
      </c>
      <c r="AC8" t="str">
        <f t="shared" si="6"/>
        <v xml:space="preserve"> 0xE0,</v>
      </c>
      <c r="AD8" t="str">
        <f t="shared" si="7"/>
        <v>224,</v>
      </c>
      <c r="AE8" t="str">
        <f t="shared" si="8"/>
        <v>11100000</v>
      </c>
      <c r="AF8">
        <v>1</v>
      </c>
      <c r="AG8">
        <v>1</v>
      </c>
      <c r="AH8">
        <v>1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1</v>
      </c>
      <c r="AP8">
        <v>1</v>
      </c>
      <c r="AQ8">
        <v>1</v>
      </c>
      <c r="AR8">
        <v>0</v>
      </c>
      <c r="AS8">
        <v>0</v>
      </c>
      <c r="AT8">
        <v>0</v>
      </c>
      <c r="AU8">
        <v>0</v>
      </c>
      <c r="AV8" t="str">
        <f t="shared" si="9"/>
        <v>01110000</v>
      </c>
      <c r="AW8" t="str">
        <f t="shared" si="10"/>
        <v>112,</v>
      </c>
      <c r="AX8" t="str">
        <f t="shared" si="11"/>
        <v xml:space="preserve"> 0x70,</v>
      </c>
      <c r="AY8" t="s">
        <v>0</v>
      </c>
      <c r="AZ8" t="s">
        <v>1</v>
      </c>
      <c r="BD8" t="str">
        <f t="shared" si="12"/>
        <v xml:space="preserve"> 0x38,</v>
      </c>
      <c r="BE8" t="str">
        <f t="shared" si="13"/>
        <v>56,</v>
      </c>
      <c r="BF8" t="str">
        <f t="shared" si="14"/>
        <v>00111000</v>
      </c>
      <c r="BG8">
        <v>0</v>
      </c>
      <c r="BH8">
        <v>0</v>
      </c>
      <c r="BI8">
        <v>1</v>
      </c>
      <c r="BJ8">
        <v>1</v>
      </c>
      <c r="BK8">
        <v>1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0xE0,</v>
      </c>
      <c r="C9" t="str">
        <f t="shared" si="1"/>
        <v>224,</v>
      </c>
      <c r="D9" t="str">
        <f t="shared" si="2"/>
        <v>11100000</v>
      </c>
      <c r="E9">
        <v>1</v>
      </c>
      <c r="F9">
        <v>1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0xE0,</v>
      </c>
      <c r="AD9" t="str">
        <f t="shared" si="7"/>
        <v>224,</v>
      </c>
      <c r="AE9" t="str">
        <f t="shared" si="8"/>
        <v>11100000</v>
      </c>
      <c r="AF9">
        <v>1</v>
      </c>
      <c r="AG9">
        <v>1</v>
      </c>
      <c r="AH9">
        <v>1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1</v>
      </c>
      <c r="AP9">
        <v>1</v>
      </c>
      <c r="AQ9">
        <v>1</v>
      </c>
      <c r="AR9">
        <v>0</v>
      </c>
      <c r="AS9">
        <v>0</v>
      </c>
      <c r="AT9">
        <v>0</v>
      </c>
      <c r="AU9">
        <v>0</v>
      </c>
      <c r="AV9" t="str">
        <f t="shared" si="9"/>
        <v>01110000</v>
      </c>
      <c r="AW9" t="str">
        <f t="shared" si="10"/>
        <v>112,</v>
      </c>
      <c r="AX9" t="str">
        <f t="shared" si="11"/>
        <v xml:space="preserve"> 0x70,</v>
      </c>
      <c r="AY9" t="s">
        <v>0</v>
      </c>
      <c r="AZ9" t="s">
        <v>1</v>
      </c>
      <c r="BD9" t="str">
        <f t="shared" si="12"/>
        <v xml:space="preserve"> 0x38,</v>
      </c>
      <c r="BE9" t="str">
        <f t="shared" si="13"/>
        <v>56,</v>
      </c>
      <c r="BF9" t="str">
        <f t="shared" si="14"/>
        <v>00111000</v>
      </c>
      <c r="BG9">
        <v>0</v>
      </c>
      <c r="BH9">
        <v>0</v>
      </c>
      <c r="BI9">
        <v>1</v>
      </c>
      <c r="BJ9">
        <v>1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0xE0,</v>
      </c>
      <c r="C10" t="str">
        <f t="shared" si="1"/>
        <v>224,</v>
      </c>
      <c r="D10" t="str">
        <f t="shared" si="2"/>
        <v>11100000</v>
      </c>
      <c r="E10">
        <v>1</v>
      </c>
      <c r="F10">
        <v>1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0xE0,</v>
      </c>
      <c r="AD10" t="str">
        <f t="shared" si="7"/>
        <v>224,</v>
      </c>
      <c r="AE10" t="str">
        <f t="shared" si="8"/>
        <v>11100000</v>
      </c>
      <c r="AF10">
        <v>1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1</v>
      </c>
      <c r="AP10">
        <v>1</v>
      </c>
      <c r="AQ10">
        <v>1</v>
      </c>
      <c r="AR10">
        <v>0</v>
      </c>
      <c r="AS10">
        <v>0</v>
      </c>
      <c r="AT10">
        <v>0</v>
      </c>
      <c r="AU10">
        <v>0</v>
      </c>
      <c r="AV10" t="str">
        <f t="shared" si="9"/>
        <v>01110000</v>
      </c>
      <c r="AW10" t="str">
        <f t="shared" si="10"/>
        <v>112,</v>
      </c>
      <c r="AX10" t="str">
        <f t="shared" si="11"/>
        <v xml:space="preserve"> 0x70,</v>
      </c>
      <c r="AY10" t="s">
        <v>0</v>
      </c>
      <c r="AZ10" t="s">
        <v>1</v>
      </c>
      <c r="BD10" t="str">
        <f t="shared" si="12"/>
        <v xml:space="preserve"> 0x38,</v>
      </c>
      <c r="BE10" t="str">
        <f t="shared" si="13"/>
        <v>56,</v>
      </c>
      <c r="BF10" t="str">
        <f t="shared" si="14"/>
        <v>00111000</v>
      </c>
      <c r="BG10">
        <v>0</v>
      </c>
      <c r="BH10">
        <v>0</v>
      </c>
      <c r="BI10">
        <v>1</v>
      </c>
      <c r="BJ10">
        <v>1</v>
      </c>
      <c r="BK10">
        <v>1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0xE0,</v>
      </c>
      <c r="C11" t="str">
        <f t="shared" si="1"/>
        <v>224,</v>
      </c>
      <c r="D11" t="str">
        <f t="shared" si="2"/>
        <v>11100000</v>
      </c>
      <c r="E11">
        <v>1</v>
      </c>
      <c r="F11">
        <v>1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0xE0,</v>
      </c>
      <c r="AD11" t="str">
        <f t="shared" si="7"/>
        <v>224,</v>
      </c>
      <c r="AE11" t="str">
        <f t="shared" si="8"/>
        <v>11100000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1</v>
      </c>
      <c r="AP11">
        <v>1</v>
      </c>
      <c r="AQ11">
        <v>1</v>
      </c>
      <c r="AR11">
        <v>0</v>
      </c>
      <c r="AS11">
        <v>0</v>
      </c>
      <c r="AT11">
        <v>0</v>
      </c>
      <c r="AU11">
        <v>0</v>
      </c>
      <c r="AV11" t="str">
        <f t="shared" si="9"/>
        <v>01110000</v>
      </c>
      <c r="AW11" t="str">
        <f t="shared" si="10"/>
        <v>112,</v>
      </c>
      <c r="AX11" t="str">
        <f t="shared" si="11"/>
        <v xml:space="preserve"> 0x70,</v>
      </c>
      <c r="AY11" t="s">
        <v>0</v>
      </c>
      <c r="AZ11" t="s">
        <v>1</v>
      </c>
      <c r="BD11" t="str">
        <f t="shared" si="12"/>
        <v xml:space="preserve"> 0x38,</v>
      </c>
      <c r="BE11" t="str">
        <f t="shared" si="13"/>
        <v>56,</v>
      </c>
      <c r="BF11" t="str">
        <f t="shared" si="14"/>
        <v>00111000</v>
      </c>
      <c r="BG11">
        <v>0</v>
      </c>
      <c r="BH11">
        <v>0</v>
      </c>
      <c r="BI11">
        <v>1</v>
      </c>
      <c r="BJ11">
        <v>1</v>
      </c>
      <c r="BK11">
        <v>1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0xE7,</v>
      </c>
      <c r="C12" t="str">
        <f t="shared" si="1"/>
        <v>231,</v>
      </c>
      <c r="D12" t="str">
        <f t="shared" si="2"/>
        <v>11100111</v>
      </c>
      <c r="E12">
        <v>1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0</v>
      </c>
      <c r="R12">
        <v>0</v>
      </c>
      <c r="S12">
        <v>0</v>
      </c>
      <c r="T12">
        <v>0</v>
      </c>
      <c r="U12" t="str">
        <f t="shared" si="3"/>
        <v>11110000</v>
      </c>
      <c r="V12" t="str">
        <f t="shared" si="4"/>
        <v>240,</v>
      </c>
      <c r="W12" t="str">
        <f t="shared" si="5"/>
        <v xml:space="preserve"> 0xF0,</v>
      </c>
      <c r="X12" t="s">
        <v>0</v>
      </c>
      <c r="Y12" t="s">
        <v>1</v>
      </c>
      <c r="AC12" t="str">
        <f t="shared" si="6"/>
        <v xml:space="preserve"> 0xFF,</v>
      </c>
      <c r="AD12" t="str">
        <f t="shared" si="7"/>
        <v>255,</v>
      </c>
      <c r="AE12" t="str">
        <f t="shared" si="8"/>
        <v>11111111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0</v>
      </c>
      <c r="AS12">
        <v>0</v>
      </c>
      <c r="AT12">
        <v>0</v>
      </c>
      <c r="AU12">
        <v>0</v>
      </c>
      <c r="AV12" t="str">
        <f t="shared" si="9"/>
        <v>11110000</v>
      </c>
      <c r="AW12" t="str">
        <f t="shared" si="10"/>
        <v>240,</v>
      </c>
      <c r="AX12" t="str">
        <f t="shared" si="11"/>
        <v xml:space="preserve"> 0xF0,</v>
      </c>
      <c r="AY12" t="s">
        <v>0</v>
      </c>
      <c r="AZ12" t="s">
        <v>1</v>
      </c>
      <c r="BD12" t="str">
        <f t="shared" si="12"/>
        <v xml:space="preserve"> 0x38,</v>
      </c>
      <c r="BE12" t="str">
        <f t="shared" si="13"/>
        <v>56,</v>
      </c>
      <c r="BF12" t="str">
        <f t="shared" si="14"/>
        <v>00111000</v>
      </c>
      <c r="BG12">
        <v>0</v>
      </c>
      <c r="BH12">
        <v>0</v>
      </c>
      <c r="BI12">
        <v>1</v>
      </c>
      <c r="BJ12">
        <v>1</v>
      </c>
      <c r="BK12">
        <v>1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0xE7,</v>
      </c>
      <c r="C13" t="str">
        <f t="shared" si="1"/>
        <v>231,</v>
      </c>
      <c r="D13" t="str">
        <f t="shared" si="2"/>
        <v>11100111</v>
      </c>
      <c r="E13">
        <v>1</v>
      </c>
      <c r="F13">
        <v>1</v>
      </c>
      <c r="G13">
        <v>1</v>
      </c>
      <c r="H13">
        <v>0</v>
      </c>
      <c r="I13">
        <v>0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0</v>
      </c>
      <c r="R13">
        <v>0</v>
      </c>
      <c r="S13">
        <v>0</v>
      </c>
      <c r="T13">
        <v>0</v>
      </c>
      <c r="U13" t="str">
        <f t="shared" si="3"/>
        <v>11110000</v>
      </c>
      <c r="V13" t="str">
        <f t="shared" si="4"/>
        <v>240,</v>
      </c>
      <c r="W13" t="str">
        <f t="shared" si="5"/>
        <v xml:space="preserve"> 0xF0,</v>
      </c>
      <c r="X13" t="s">
        <v>0</v>
      </c>
      <c r="Y13" t="s">
        <v>1</v>
      </c>
      <c r="AC13" t="str">
        <f t="shared" si="6"/>
        <v xml:space="preserve"> 0xFF,</v>
      </c>
      <c r="AD13" t="str">
        <f t="shared" si="7"/>
        <v>255,</v>
      </c>
      <c r="AE13" t="str">
        <f t="shared" si="8"/>
        <v>11111111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0</v>
      </c>
      <c r="AS13">
        <v>0</v>
      </c>
      <c r="AT13">
        <v>0</v>
      </c>
      <c r="AU13">
        <v>0</v>
      </c>
      <c r="AV13" t="str">
        <f t="shared" si="9"/>
        <v>11110000</v>
      </c>
      <c r="AW13" t="str">
        <f t="shared" si="10"/>
        <v>240,</v>
      </c>
      <c r="AX13" t="str">
        <f t="shared" si="11"/>
        <v xml:space="preserve"> 0xF0,</v>
      </c>
      <c r="AY13" t="s">
        <v>0</v>
      </c>
      <c r="AZ13" t="s">
        <v>1</v>
      </c>
      <c r="BD13" t="str">
        <f t="shared" si="12"/>
        <v xml:space="preserve"> 0x38,</v>
      </c>
      <c r="BE13" t="str">
        <f t="shared" si="13"/>
        <v>56,</v>
      </c>
      <c r="BF13" t="str">
        <f t="shared" si="14"/>
        <v>00111000</v>
      </c>
      <c r="BG13">
        <v>0</v>
      </c>
      <c r="BH13">
        <v>0</v>
      </c>
      <c r="BI13">
        <v>1</v>
      </c>
      <c r="BJ13">
        <v>1</v>
      </c>
      <c r="BK13">
        <v>1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0xE0,</v>
      </c>
      <c r="C14" t="str">
        <f t="shared" si="1"/>
        <v>224,</v>
      </c>
      <c r="D14" t="str">
        <f t="shared" si="2"/>
        <v>11100000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1</v>
      </c>
      <c r="O14">
        <v>1</v>
      </c>
      <c r="P14">
        <v>1</v>
      </c>
      <c r="Q14">
        <v>0</v>
      </c>
      <c r="R14">
        <v>0</v>
      </c>
      <c r="S14">
        <v>0</v>
      </c>
      <c r="T14">
        <v>0</v>
      </c>
      <c r="U14" t="str">
        <f t="shared" si="3"/>
        <v>01110000</v>
      </c>
      <c r="V14" t="str">
        <f t="shared" si="4"/>
        <v>112,</v>
      </c>
      <c r="W14" t="str">
        <f t="shared" si="5"/>
        <v xml:space="preserve"> 0x70,</v>
      </c>
      <c r="X14" t="s">
        <v>0</v>
      </c>
      <c r="Y14" t="s">
        <v>1</v>
      </c>
      <c r="AC14" t="str">
        <f t="shared" si="6"/>
        <v xml:space="preserve"> 0xE0,</v>
      </c>
      <c r="AD14" t="str">
        <f t="shared" si="7"/>
        <v>224,</v>
      </c>
      <c r="AE14" t="str">
        <f t="shared" si="8"/>
        <v>11100000</v>
      </c>
      <c r="AF14">
        <v>1</v>
      </c>
      <c r="AG14">
        <v>1</v>
      </c>
      <c r="AH14">
        <v>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1</v>
      </c>
      <c r="AP14">
        <v>1</v>
      </c>
      <c r="AQ14">
        <v>1</v>
      </c>
      <c r="AR14">
        <v>0</v>
      </c>
      <c r="AS14">
        <v>0</v>
      </c>
      <c r="AT14">
        <v>0</v>
      </c>
      <c r="AU14">
        <v>0</v>
      </c>
      <c r="AV14" t="str">
        <f t="shared" si="9"/>
        <v>01110000</v>
      </c>
      <c r="AW14" t="str">
        <f t="shared" si="10"/>
        <v>112,</v>
      </c>
      <c r="AX14" t="str">
        <f t="shared" si="11"/>
        <v xml:space="preserve"> 0x70,</v>
      </c>
      <c r="AY14" t="s">
        <v>0</v>
      </c>
      <c r="AZ14" t="s">
        <v>1</v>
      </c>
      <c r="BD14" t="str">
        <f t="shared" si="12"/>
        <v xml:space="preserve"> 0x38,</v>
      </c>
      <c r="BE14" t="str">
        <f t="shared" si="13"/>
        <v>56,</v>
      </c>
      <c r="BF14" t="str">
        <f t="shared" si="14"/>
        <v>00111000</v>
      </c>
      <c r="BG14">
        <v>0</v>
      </c>
      <c r="BH14">
        <v>0</v>
      </c>
      <c r="BI14">
        <v>1</v>
      </c>
      <c r="BJ14">
        <v>1</v>
      </c>
      <c r="BK14">
        <v>1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0xE0,</v>
      </c>
      <c r="C15" t="str">
        <f t="shared" si="1"/>
        <v>224,</v>
      </c>
      <c r="D15" t="str">
        <f t="shared" si="2"/>
        <v>11100000</v>
      </c>
      <c r="E15">
        <v>1</v>
      </c>
      <c r="F15">
        <v>1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1</v>
      </c>
      <c r="P15">
        <v>1</v>
      </c>
      <c r="Q15">
        <v>0</v>
      </c>
      <c r="R15">
        <v>0</v>
      </c>
      <c r="S15">
        <v>0</v>
      </c>
      <c r="T15">
        <v>0</v>
      </c>
      <c r="U15" t="str">
        <f t="shared" si="3"/>
        <v>01110000</v>
      </c>
      <c r="V15" t="str">
        <f t="shared" si="4"/>
        <v>112,</v>
      </c>
      <c r="W15" t="str">
        <f t="shared" si="5"/>
        <v xml:space="preserve"> 0x70,</v>
      </c>
      <c r="X15" t="s">
        <v>0</v>
      </c>
      <c r="Y15" t="s">
        <v>1</v>
      </c>
      <c r="AC15" t="str">
        <f t="shared" si="6"/>
        <v xml:space="preserve"> 0xE0,</v>
      </c>
      <c r="AD15" t="str">
        <f t="shared" si="7"/>
        <v>224,</v>
      </c>
      <c r="AE15" t="str">
        <f t="shared" si="8"/>
        <v>11100000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</v>
      </c>
      <c r="AR15">
        <v>0</v>
      </c>
      <c r="AS15">
        <v>0</v>
      </c>
      <c r="AT15">
        <v>0</v>
      </c>
      <c r="AU15">
        <v>0</v>
      </c>
      <c r="AV15" t="str">
        <f t="shared" si="9"/>
        <v>01110000</v>
      </c>
      <c r="AW15" t="str">
        <f t="shared" si="10"/>
        <v>112,</v>
      </c>
      <c r="AX15" t="str">
        <f t="shared" si="11"/>
        <v xml:space="preserve"> 0x70,</v>
      </c>
      <c r="AY15" t="s">
        <v>0</v>
      </c>
      <c r="AZ15" t="s">
        <v>1</v>
      </c>
      <c r="BD15" t="str">
        <f t="shared" si="12"/>
        <v xml:space="preserve"> 0x38,</v>
      </c>
      <c r="BE15" t="str">
        <f t="shared" si="13"/>
        <v>56,</v>
      </c>
      <c r="BF15" t="str">
        <f t="shared" si="14"/>
        <v>00111000</v>
      </c>
      <c r="BG15">
        <v>0</v>
      </c>
      <c r="BH15">
        <v>0</v>
      </c>
      <c r="BI15">
        <v>1</v>
      </c>
      <c r="BJ15">
        <v>1</v>
      </c>
      <c r="BK15">
        <v>1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0xE0,</v>
      </c>
      <c r="C16" t="str">
        <f t="shared" si="1"/>
        <v>224,</v>
      </c>
      <c r="D16" t="str">
        <f t="shared" si="2"/>
        <v>11100000</v>
      </c>
      <c r="E16">
        <v>1</v>
      </c>
      <c r="F16">
        <v>1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1</v>
      </c>
      <c r="P16">
        <v>1</v>
      </c>
      <c r="Q16">
        <v>0</v>
      </c>
      <c r="R16">
        <v>0</v>
      </c>
      <c r="S16">
        <v>0</v>
      </c>
      <c r="T16">
        <v>0</v>
      </c>
      <c r="U16" t="str">
        <f t="shared" si="3"/>
        <v>01110000</v>
      </c>
      <c r="V16" t="str">
        <f t="shared" si="4"/>
        <v>112,</v>
      </c>
      <c r="W16" t="str">
        <f t="shared" si="5"/>
        <v xml:space="preserve"> 0x70,</v>
      </c>
      <c r="X16" t="s">
        <v>0</v>
      </c>
      <c r="Y16" t="s">
        <v>1</v>
      </c>
      <c r="AC16" t="str">
        <f t="shared" si="6"/>
        <v xml:space="preserve"> 0xE0,</v>
      </c>
      <c r="AD16" t="str">
        <f t="shared" si="7"/>
        <v>224,</v>
      </c>
      <c r="AE16" t="str">
        <f t="shared" si="8"/>
        <v>11100000</v>
      </c>
      <c r="AF16">
        <v>1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1</v>
      </c>
      <c r="AP16">
        <v>1</v>
      </c>
      <c r="AQ16">
        <v>1</v>
      </c>
      <c r="AR16">
        <v>0</v>
      </c>
      <c r="AS16">
        <v>0</v>
      </c>
      <c r="AT16">
        <v>0</v>
      </c>
      <c r="AU16">
        <v>0</v>
      </c>
      <c r="AV16" t="str">
        <f t="shared" si="9"/>
        <v>01110000</v>
      </c>
      <c r="AW16" t="str">
        <f t="shared" si="10"/>
        <v>112,</v>
      </c>
      <c r="AX16" t="str">
        <f t="shared" si="11"/>
        <v xml:space="preserve"> 0x70,</v>
      </c>
      <c r="AY16" t="s">
        <v>0</v>
      </c>
      <c r="AZ16" t="s">
        <v>1</v>
      </c>
      <c r="BD16" t="str">
        <f t="shared" si="12"/>
        <v xml:space="preserve"> 0x38,</v>
      </c>
      <c r="BE16" t="str">
        <f t="shared" si="13"/>
        <v>56,</v>
      </c>
      <c r="BF16" t="str">
        <f t="shared" si="14"/>
        <v>00111000</v>
      </c>
      <c r="BG16">
        <v>0</v>
      </c>
      <c r="BH16">
        <v>0</v>
      </c>
      <c r="BI16">
        <v>1</v>
      </c>
      <c r="BJ16">
        <v>1</v>
      </c>
      <c r="BK16">
        <v>1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0xE0,</v>
      </c>
      <c r="C17" t="str">
        <f t="shared" si="1"/>
        <v>224,</v>
      </c>
      <c r="D17" t="str">
        <f t="shared" si="2"/>
        <v>11100000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</v>
      </c>
      <c r="O17">
        <v>1</v>
      </c>
      <c r="P17">
        <v>1</v>
      </c>
      <c r="Q17">
        <v>0</v>
      </c>
      <c r="R17">
        <v>0</v>
      </c>
      <c r="S17">
        <v>0</v>
      </c>
      <c r="T17">
        <v>0</v>
      </c>
      <c r="U17" t="str">
        <f t="shared" si="3"/>
        <v>01110000</v>
      </c>
      <c r="V17" t="str">
        <f t="shared" si="4"/>
        <v>112,</v>
      </c>
      <c r="W17" t="str">
        <f t="shared" si="5"/>
        <v xml:space="preserve"> 0x70,</v>
      </c>
      <c r="X17" t="s">
        <v>0</v>
      </c>
      <c r="Y17" t="s">
        <v>1</v>
      </c>
      <c r="AC17" t="str">
        <f t="shared" si="6"/>
        <v xml:space="preserve"> 0xE0,</v>
      </c>
      <c r="AD17" t="str">
        <f t="shared" si="7"/>
        <v>224,</v>
      </c>
      <c r="AE17" t="str">
        <f t="shared" si="8"/>
        <v>11100000</v>
      </c>
      <c r="AF17">
        <v>1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1</v>
      </c>
      <c r="AP17">
        <v>1</v>
      </c>
      <c r="AQ17">
        <v>1</v>
      </c>
      <c r="AR17">
        <v>0</v>
      </c>
      <c r="AS17">
        <v>0</v>
      </c>
      <c r="AT17">
        <v>0</v>
      </c>
      <c r="AU17">
        <v>0</v>
      </c>
      <c r="AV17" t="str">
        <f t="shared" si="9"/>
        <v>01110000</v>
      </c>
      <c r="AW17" t="str">
        <f t="shared" si="10"/>
        <v>112,</v>
      </c>
      <c r="AX17" t="str">
        <f t="shared" si="11"/>
        <v xml:space="preserve"> 0x70,</v>
      </c>
      <c r="AY17" t="s">
        <v>0</v>
      </c>
      <c r="AZ17" t="s">
        <v>1</v>
      </c>
      <c r="BD17" t="str">
        <f t="shared" si="12"/>
        <v xml:space="preserve"> 0x38,</v>
      </c>
      <c r="BE17" t="str">
        <f t="shared" si="13"/>
        <v>56,</v>
      </c>
      <c r="BF17" t="str">
        <f t="shared" si="14"/>
        <v>00111000</v>
      </c>
      <c r="BG17">
        <v>0</v>
      </c>
      <c r="BH17">
        <v>0</v>
      </c>
      <c r="BI17">
        <v>1</v>
      </c>
      <c r="BJ17">
        <v>1</v>
      </c>
      <c r="BK17">
        <v>1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0xF0,</v>
      </c>
      <c r="C18" t="str">
        <f t="shared" si="1"/>
        <v>240,</v>
      </c>
      <c r="D18" t="str">
        <f t="shared" si="2"/>
        <v>11110000</v>
      </c>
      <c r="E18">
        <v>1</v>
      </c>
      <c r="F18">
        <v>1</v>
      </c>
      <c r="G18">
        <v>1</v>
      </c>
      <c r="H18">
        <v>1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0</v>
      </c>
      <c r="T18">
        <v>0</v>
      </c>
      <c r="U18" t="str">
        <f t="shared" si="3"/>
        <v>11110000</v>
      </c>
      <c r="V18" t="str">
        <f t="shared" si="4"/>
        <v>240,</v>
      </c>
      <c r="W18" t="str">
        <f t="shared" si="5"/>
        <v xml:space="preserve"> 0xF0,</v>
      </c>
      <c r="X18" t="s">
        <v>0</v>
      </c>
      <c r="Y18" t="s">
        <v>1</v>
      </c>
      <c r="AC18" t="str">
        <f t="shared" si="6"/>
        <v xml:space="preserve"> 0xE0,</v>
      </c>
      <c r="AD18" t="str">
        <f t="shared" si="7"/>
        <v>224,</v>
      </c>
      <c r="AE18" t="str">
        <f t="shared" si="8"/>
        <v>11100000</v>
      </c>
      <c r="AF18">
        <v>1</v>
      </c>
      <c r="AG18">
        <v>1</v>
      </c>
      <c r="AH18">
        <v>1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1</v>
      </c>
      <c r="AP18">
        <v>1</v>
      </c>
      <c r="AQ18">
        <v>1</v>
      </c>
      <c r="AR18">
        <v>0</v>
      </c>
      <c r="AS18">
        <v>0</v>
      </c>
      <c r="AT18">
        <v>0</v>
      </c>
      <c r="AU18">
        <v>0</v>
      </c>
      <c r="AV18" t="str">
        <f t="shared" si="9"/>
        <v>01110000</v>
      </c>
      <c r="AW18" t="str">
        <f t="shared" si="10"/>
        <v>112,</v>
      </c>
      <c r="AX18" t="str">
        <f t="shared" si="11"/>
        <v xml:space="preserve"> 0x70,</v>
      </c>
      <c r="AY18" t="s">
        <v>0</v>
      </c>
      <c r="AZ18" t="s">
        <v>1</v>
      </c>
      <c r="BD18" t="str">
        <f t="shared" si="12"/>
        <v xml:space="preserve"> 0x38,</v>
      </c>
      <c r="BE18" t="str">
        <f t="shared" si="13"/>
        <v>56,</v>
      </c>
      <c r="BF18" t="str">
        <f t="shared" si="14"/>
        <v>00111000</v>
      </c>
      <c r="BG18">
        <v>0</v>
      </c>
      <c r="BH18">
        <v>0</v>
      </c>
      <c r="BI18">
        <v>1</v>
      </c>
      <c r="BJ18">
        <v>1</v>
      </c>
      <c r="BK18">
        <v>1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0x7F,</v>
      </c>
      <c r="C19" t="str">
        <f t="shared" si="1"/>
        <v>127,</v>
      </c>
      <c r="D19" t="str">
        <f t="shared" si="2"/>
        <v>01111111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11100000</v>
      </c>
      <c r="V19" t="str">
        <f t="shared" si="4"/>
        <v>224,</v>
      </c>
      <c r="W19" t="str">
        <f t="shared" si="5"/>
        <v xml:space="preserve"> 0xE0,</v>
      </c>
      <c r="X19" t="s">
        <v>0</v>
      </c>
      <c r="Y19" t="s">
        <v>1</v>
      </c>
      <c r="AC19" t="str">
        <f t="shared" si="6"/>
        <v xml:space="preserve"> 0xE0,</v>
      </c>
      <c r="AD19" t="str">
        <f t="shared" si="7"/>
        <v>224,</v>
      </c>
      <c r="AE19" t="str">
        <f t="shared" si="8"/>
        <v>11100000</v>
      </c>
      <c r="AF19">
        <v>1</v>
      </c>
      <c r="AG19">
        <v>1</v>
      </c>
      <c r="AH19">
        <v>1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1</v>
      </c>
      <c r="AP19">
        <v>1</v>
      </c>
      <c r="AQ19">
        <v>1</v>
      </c>
      <c r="AR19">
        <v>0</v>
      </c>
      <c r="AS19">
        <v>0</v>
      </c>
      <c r="AT19">
        <v>0</v>
      </c>
      <c r="AU19">
        <v>0</v>
      </c>
      <c r="AV19" t="str">
        <f t="shared" si="9"/>
        <v>01110000</v>
      </c>
      <c r="AW19" t="str">
        <f t="shared" si="10"/>
        <v>112,</v>
      </c>
      <c r="AX19" t="str">
        <f t="shared" si="11"/>
        <v xml:space="preserve"> 0x70,</v>
      </c>
      <c r="AY19" t="s">
        <v>0</v>
      </c>
      <c r="AZ19" t="s">
        <v>1</v>
      </c>
      <c r="BD19" t="str">
        <f t="shared" si="12"/>
        <v xml:space="preserve"> 0xFE,</v>
      </c>
      <c r="BE19" t="str">
        <f t="shared" si="13"/>
        <v>254,</v>
      </c>
      <c r="BF19" t="str">
        <f t="shared" si="14"/>
        <v>11111110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0x3F,</v>
      </c>
      <c r="C20" t="str">
        <f t="shared" si="1"/>
        <v>63,</v>
      </c>
      <c r="D20" t="str">
        <f t="shared" si="2"/>
        <v>00111111</v>
      </c>
      <c r="E20">
        <v>0</v>
      </c>
      <c r="F20">
        <v>0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11000000</v>
      </c>
      <c r="V20" t="str">
        <f t="shared" si="4"/>
        <v>192,</v>
      </c>
      <c r="W20" t="str">
        <f t="shared" si="5"/>
        <v xml:space="preserve"> 0xC0,</v>
      </c>
      <c r="X20" t="s">
        <v>0</v>
      </c>
      <c r="Y20" t="s">
        <v>1</v>
      </c>
      <c r="AC20" t="str">
        <f t="shared" si="6"/>
        <v xml:space="preserve"> 0xE0,</v>
      </c>
      <c r="AD20" t="str">
        <f t="shared" si="7"/>
        <v>224,</v>
      </c>
      <c r="AE20" t="str">
        <f t="shared" si="8"/>
        <v>11100000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1</v>
      </c>
      <c r="AP20">
        <v>1</v>
      </c>
      <c r="AQ20">
        <v>1</v>
      </c>
      <c r="AR20">
        <v>0</v>
      </c>
      <c r="AS20">
        <v>0</v>
      </c>
      <c r="AT20">
        <v>0</v>
      </c>
      <c r="AU20">
        <v>0</v>
      </c>
      <c r="AV20" t="str">
        <f t="shared" si="9"/>
        <v>01110000</v>
      </c>
      <c r="AW20" t="str">
        <f t="shared" si="10"/>
        <v>112,</v>
      </c>
      <c r="AX20" t="str">
        <f t="shared" si="11"/>
        <v xml:space="preserve"> 0x70,</v>
      </c>
      <c r="AY20" t="s">
        <v>0</v>
      </c>
      <c r="AZ20" t="s">
        <v>1</v>
      </c>
      <c r="BD20" t="str">
        <f t="shared" si="12"/>
        <v xml:space="preserve"> 0xFE,</v>
      </c>
      <c r="BE20" t="str">
        <f t="shared" si="13"/>
        <v>254,</v>
      </c>
      <c r="BF20" t="str">
        <f t="shared" si="14"/>
        <v>11111110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1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12,</v>
      </c>
      <c r="V22" t="str">
        <f>Y20&amp;DEC2HEX(U22,2)&amp;X20</f>
        <v xml:space="preserve"> 0x0C,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1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12,</v>
      </c>
      <c r="AW22" t="str">
        <f>AZ20&amp;DEC2HEX(AV22,2)&amp;AY20</f>
        <v xml:space="preserve"> 0x0C,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12,63,192,127,224,240,240,224,112,224,0,224,0,224,0,231,240,231,240,224,112,224,112,224,112,224,112,240,240,127,224,63,192,//G//71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12,224,112,224,112,224,112,224,112,224,112,224,112,224,112,255,240,255,240,224,112,224,112,224,112,224,112,224,112,224,112,224,112,//H//72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7,254,0,254,0,56,0,56,0,56,0,56,0,56,0,56,0,56,0,56,0,56,0,56,0,56,0,56,0,254,0,254,0,//I//73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0x0C, 0x3F, 0xC0, 0x7F, 0xE0, 0xF0, 0xF0, 0xE0, 0x70, 0xE0, 0x00, 0xE0, 0x00, 0xE0, 0x00, 0xE7, 0xF0, 0xE7, 0xF0, 0xE0, 0x70, 0xE0, 0x70, 0xE0, 0x70, 0xE0, 0x70, 0xF0, 0xF0, 0x7F, 0xE0, 0x3F, 0xC0,//G//71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0x0C, 0xE0, 0x70, 0xE0, 0x70, 0xE0, 0x70, 0xE0, 0x70, 0xE0, 0x70, 0xE0, 0x70, 0xE0, 0x70, 0xFF, 0xF0, 0xFF, 0xF0, 0xE0, 0x70, 0xE0, 0x70, 0xE0, 0x70, 0xE0, 0x70, 0xE0, 0x70, 0xE0, 0x70, 0xE0, 0x70,//H//72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0xFE, 0x00, 0xFE, 0x00, 0x38, 0x00, 0x38, 0x00, 0x38, 0x00, 0x38, 0x00, 0x38, 0x00, 0x38, 0x00, 0x38, 0x00, 0x38, 0x00, 0x38, 0x00, 0x38, 0x00, 0x38, 0x00, 0x38, 0x00, 0xFE, 0x00, 0xFE, 0x00,//I//73</v>
      </c>
    </row>
    <row r="28" spans="1:79">
      <c r="A28" s="1" t="str">
        <f>$B$24</f>
        <v>12,63,192,127,224,240,240,224,112,224,0,224,0,224,0,231,240,231,240,224,112,224,112,224,112,224,112,240,240,127,224,63,192,//G//71</v>
      </c>
      <c r="E28" t="s">
        <v>4</v>
      </c>
      <c r="AB28" s="1" t="str">
        <f>$AC$24</f>
        <v>12,224,112,224,112,224,112,224,112,224,112,224,112,224,112,255,240,255,240,224,112,224,112,224,112,224,112,224,112,224,112,224,112,//H//72</v>
      </c>
      <c r="AF28" t="s">
        <v>4</v>
      </c>
      <c r="BC28" s="1" t="str">
        <f>$BD$24</f>
        <v>7,254,0,254,0,56,0,56,0,56,0,56,0,56,0,56,0,56,0,56,0,56,0,56,0,56,0,56,0,254,0,254,0,//I//73</v>
      </c>
      <c r="BG28" t="s">
        <v>4</v>
      </c>
    </row>
    <row r="29" spans="1:79">
      <c r="A29" s="2" t="str">
        <f>$B$25</f>
        <v xml:space="preserve"> 0x0C, 0x3F, 0xC0, 0x7F, 0xE0, 0xF0, 0xF0, 0xE0, 0x70, 0xE0, 0x00, 0xE0, 0x00, 0xE0, 0x00, 0xE7, 0xF0, 0xE7, 0xF0, 0xE0, 0x70, 0xE0, 0x70, 0xE0, 0x70, 0xE0, 0x70, 0xF0, 0xF0, 0x7F, 0xE0, 0x3F, 0xC0,//G//71</v>
      </c>
      <c r="E29" t="s">
        <v>3</v>
      </c>
      <c r="AB29" s="2" t="str">
        <f>$AC$25</f>
        <v xml:space="preserve"> 0x0C, 0xE0, 0x70, 0xE0, 0x70, 0xE0, 0x70, 0xE0, 0x70, 0xE0, 0x70, 0xE0, 0x70, 0xE0, 0x70, 0xFF, 0xF0, 0xFF, 0xF0, 0xE0, 0x70, 0xE0, 0x70, 0xE0, 0x70, 0xE0, 0x70, 0xE0, 0x70, 0xE0, 0x70, 0xE0, 0x70,//H//72</v>
      </c>
      <c r="AF29" t="s">
        <v>3</v>
      </c>
      <c r="BC29" s="2" t="str">
        <f>$BD$25</f>
        <v xml:space="preserve"> 0x07, 0xFE, 0x00, 0xFE, 0x00, 0x38, 0x00, 0x38, 0x00, 0x38, 0x00, 0x38, 0x00, 0x38, 0x00, 0x38, 0x00, 0x38, 0x00, 0x38, 0x00, 0x38, 0x00, 0x38, 0x00, 0x38, 0x00, 0x38, 0x00, 0xFE, 0x00, 0xFE, 0x00,//I//73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H8:L12 E5:N5 H13:K15 G8:G17 G20 E6:F20 J16:K17 L13:L17 M8:N17 J20:N20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20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51" priority="11" operator="greaterThan">
      <formula>1</formula>
    </cfRule>
  </conditionalFormatting>
  <conditionalFormatting sqref="AF6:AG20 AF5:AO5 AH6:AO19 AN20:AO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P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50" priority="6" operator="greaterThan">
      <formula>1</formula>
    </cfRule>
  </conditionalFormatting>
  <conditionalFormatting sqref="BG6:BH20 BI6:BP7 BI18:BP19 BJ8:BN12 BG5:BP5 BJ13:BM15 BI8:BI17 BK16:BM17 BN13:BN17 BO8:BP17 BK20:BP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Q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49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6"/>
  <dimension ref="A4:CB29"/>
  <sheetViews>
    <sheetView workbookViewId="0">
      <selection activeCell="N30" sqref="N30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74</v>
      </c>
      <c r="Z4" t="s">
        <v>5</v>
      </c>
      <c r="AB4" s="3">
        <v>75</v>
      </c>
      <c r="BA4" t="s">
        <v>5</v>
      </c>
      <c r="BC4" s="3">
        <v>76</v>
      </c>
      <c r="CB4" t="s">
        <v>5</v>
      </c>
    </row>
    <row r="5" spans="1:80">
      <c r="A5" s="3" t="s">
        <v>243</v>
      </c>
      <c r="B5" t="str">
        <f>Z5&amp;Y5&amp;BIN2HEX(D5,2)&amp;X5</f>
        <v xml:space="preserve"> 0x07,</v>
      </c>
      <c r="C5" t="str">
        <f>Z5&amp;BIN2DEC(D5)&amp;X5</f>
        <v>7,</v>
      </c>
      <c r="D5" t="str">
        <f>E5&amp;F5&amp;G5&amp;H5&amp;I5&amp;J5&amp;K5&amp;L5</f>
        <v>00000111</v>
      </c>
      <c r="E5">
        <v>0</v>
      </c>
      <c r="F5">
        <v>0</v>
      </c>
      <c r="G5">
        <v>0</v>
      </c>
      <c r="H5">
        <v>0</v>
      </c>
      <c r="I5">
        <v>0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11110000</v>
      </c>
      <c r="V5" t="str">
        <f>Z5&amp;BIN2DEC(U5)&amp;X5</f>
        <v>240,</v>
      </c>
      <c r="W5" t="str">
        <f>Z5&amp;Y5&amp;BIN2HEX(U5,2)&amp;X5</f>
        <v xml:space="preserve"> 0xF0,</v>
      </c>
      <c r="X5" t="s">
        <v>0</v>
      </c>
      <c r="Y5" t="s">
        <v>1</v>
      </c>
      <c r="AB5" s="3" t="s">
        <v>244</v>
      </c>
      <c r="AC5" t="str">
        <f>BA5&amp;AZ5&amp;BIN2HEX(AE5,2)&amp;AY5</f>
        <v xml:space="preserve"> 0xF0,</v>
      </c>
      <c r="AD5" t="str">
        <f>BA5&amp;BIN2DEC(AE5)&amp;AY5</f>
        <v>240,</v>
      </c>
      <c r="AE5" t="str">
        <f>AF5&amp;AG5&amp;AH5&amp;AI5&amp;AJ5&amp;AK5&amp;AL5&amp;AM5</f>
        <v>11110000</v>
      </c>
      <c r="AF5">
        <v>1</v>
      </c>
      <c r="AG5">
        <v>1</v>
      </c>
      <c r="AH5">
        <v>1</v>
      </c>
      <c r="AI5">
        <v>1</v>
      </c>
      <c r="AJ5">
        <v>0</v>
      </c>
      <c r="AK5">
        <v>0</v>
      </c>
      <c r="AL5">
        <v>0</v>
      </c>
      <c r="AM5">
        <v>0</v>
      </c>
      <c r="AN5">
        <v>0</v>
      </c>
      <c r="AO5">
        <v>1</v>
      </c>
      <c r="AP5">
        <v>1</v>
      </c>
      <c r="AQ5">
        <v>1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01110000</v>
      </c>
      <c r="AW5" t="str">
        <f>BA5&amp;BIN2DEC(AV5)&amp;AY5</f>
        <v>112,</v>
      </c>
      <c r="AX5" t="str">
        <f>BA5&amp;AZ5&amp;BIN2HEX(AV5,2)&amp;AY5</f>
        <v xml:space="preserve"> 0x70,</v>
      </c>
      <c r="AY5" t="s">
        <v>0</v>
      </c>
      <c r="AZ5" t="s">
        <v>1</v>
      </c>
      <c r="BC5" s="3" t="s">
        <v>245</v>
      </c>
      <c r="BD5" t="str">
        <f>CB5&amp;CA5&amp;BIN2HEX(BF5,2)&amp;BZ5</f>
        <v xml:space="preserve"> 0xE0,</v>
      </c>
      <c r="BE5" t="str">
        <f>CB5&amp;BIN2DEC(BF5)&amp;BZ5</f>
        <v>224,</v>
      </c>
      <c r="BF5" t="str">
        <f>BG5&amp;BH5&amp;BI5&amp;BJ5&amp;BK5&amp;BL5&amp;BM5&amp;BN5</f>
        <v>11100000</v>
      </c>
      <c r="BG5">
        <v>1</v>
      </c>
      <c r="BH5">
        <v>1</v>
      </c>
      <c r="BI5">
        <v>1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0x07,</v>
      </c>
      <c r="C6" t="str">
        <f t="shared" ref="C6:C20" si="1">Z6&amp;BIN2DEC(D6)&amp;X6</f>
        <v>7,</v>
      </c>
      <c r="D6" t="str">
        <f t="shared" ref="D6:D20" si="2">E6&amp;F6&amp;G6&amp;H6&amp;I6&amp;J6&amp;K6&amp;L6</f>
        <v>00000111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11110000</v>
      </c>
      <c r="V6" t="str">
        <f t="shared" ref="V6:V20" si="4">Z6&amp;BIN2DEC(U6)&amp;X6</f>
        <v>240,</v>
      </c>
      <c r="W6" t="str">
        <f t="shared" ref="W6:W20" si="5">Z6&amp;Y6&amp;BIN2HEX(U6,2)&amp;X6</f>
        <v xml:space="preserve"> 0xF0,</v>
      </c>
      <c r="X6" t="s">
        <v>0</v>
      </c>
      <c r="Y6" t="s">
        <v>1</v>
      </c>
      <c r="AC6" t="str">
        <f t="shared" ref="AC6:AC20" si="6">BA6&amp;AZ6&amp;BIN2HEX(AE6,2)&amp;AY6</f>
        <v xml:space="preserve"> 0xF0,</v>
      </c>
      <c r="AD6" t="str">
        <f t="shared" ref="AD6:AD20" si="7">BA6&amp;BIN2DEC(AE6)&amp;AY6</f>
        <v>240,</v>
      </c>
      <c r="AE6" t="str">
        <f t="shared" ref="AE6:AE20" si="8">AF6&amp;AG6&amp;AH6&amp;AI6&amp;AJ6&amp;AK6&amp;AL6&amp;AM6</f>
        <v>11110000</v>
      </c>
      <c r="AF6">
        <v>1</v>
      </c>
      <c r="AG6">
        <v>1</v>
      </c>
      <c r="AH6">
        <v>1</v>
      </c>
      <c r="AI6">
        <v>1</v>
      </c>
      <c r="AJ6">
        <v>0</v>
      </c>
      <c r="AK6">
        <v>0</v>
      </c>
      <c r="AL6">
        <v>0</v>
      </c>
      <c r="AM6">
        <v>0</v>
      </c>
      <c r="AN6">
        <v>0</v>
      </c>
      <c r="AO6">
        <v>1</v>
      </c>
      <c r="AP6">
        <v>1</v>
      </c>
      <c r="AQ6">
        <v>1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01110000</v>
      </c>
      <c r="AW6" t="str">
        <f t="shared" ref="AW6:AW20" si="10">BA6&amp;BIN2DEC(AV6)&amp;AY6</f>
        <v>112,</v>
      </c>
      <c r="AX6" t="str">
        <f t="shared" ref="AX6:AX20" si="11">BA6&amp;AZ6&amp;BIN2HEX(AV6,2)&amp;AY6</f>
        <v xml:space="preserve"> 0x70,</v>
      </c>
      <c r="AY6" t="s">
        <v>0</v>
      </c>
      <c r="AZ6" t="s">
        <v>1</v>
      </c>
      <c r="BD6" t="str">
        <f t="shared" ref="BD6:BD20" si="12">CB6&amp;CA6&amp;BIN2HEX(BF6,2)&amp;BZ6</f>
        <v xml:space="preserve"> 0xE0,</v>
      </c>
      <c r="BE6" t="str">
        <f t="shared" ref="BE6:BE20" si="13">CB6&amp;BIN2DEC(BF6)&amp;BZ6</f>
        <v>224,</v>
      </c>
      <c r="BF6" t="str">
        <f t="shared" ref="BF6:BF20" si="14">BG6&amp;BH6&amp;BI6&amp;BJ6&amp;BK6&amp;BL6&amp;BM6&amp;BN6</f>
        <v>11100000</v>
      </c>
      <c r="BG6">
        <v>1</v>
      </c>
      <c r="BH6">
        <v>1</v>
      </c>
      <c r="BI6">
        <v>1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0x01,</v>
      </c>
      <c r="C7" t="str">
        <f t="shared" si="1"/>
        <v>1,</v>
      </c>
      <c r="D7" t="str">
        <f t="shared" si="2"/>
        <v>00000001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1</v>
      </c>
      <c r="N7">
        <v>1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11000000</v>
      </c>
      <c r="V7" t="str">
        <f t="shared" si="4"/>
        <v>192,</v>
      </c>
      <c r="W7" t="str">
        <f t="shared" si="5"/>
        <v xml:space="preserve"> 0xC0,</v>
      </c>
      <c r="X7" t="s">
        <v>0</v>
      </c>
      <c r="Y7" t="s">
        <v>1</v>
      </c>
      <c r="AC7" t="str">
        <f t="shared" si="6"/>
        <v xml:space="preserve"> 0x70,</v>
      </c>
      <c r="AD7" t="str">
        <f t="shared" si="7"/>
        <v>112,</v>
      </c>
      <c r="AE7" t="str">
        <f t="shared" si="8"/>
        <v>01110000</v>
      </c>
      <c r="AF7">
        <v>0</v>
      </c>
      <c r="AG7">
        <v>1</v>
      </c>
      <c r="AH7">
        <v>1</v>
      </c>
      <c r="AI7">
        <v>1</v>
      </c>
      <c r="AJ7">
        <v>0</v>
      </c>
      <c r="AK7">
        <v>0</v>
      </c>
      <c r="AL7">
        <v>0</v>
      </c>
      <c r="AM7">
        <v>0</v>
      </c>
      <c r="AN7">
        <v>0</v>
      </c>
      <c r="AO7">
        <v>1</v>
      </c>
      <c r="AP7">
        <v>1</v>
      </c>
      <c r="AQ7">
        <v>1</v>
      </c>
      <c r="AR7">
        <v>0</v>
      </c>
      <c r="AS7">
        <v>0</v>
      </c>
      <c r="AT7">
        <v>0</v>
      </c>
      <c r="AU7">
        <v>0</v>
      </c>
      <c r="AV7" t="str">
        <f t="shared" si="9"/>
        <v>01110000</v>
      </c>
      <c r="AW7" t="str">
        <f t="shared" si="10"/>
        <v>112,</v>
      </c>
      <c r="AX7" t="str">
        <f t="shared" si="11"/>
        <v xml:space="preserve"> 0x70,</v>
      </c>
      <c r="AY7" t="s">
        <v>0</v>
      </c>
      <c r="AZ7" t="s">
        <v>1</v>
      </c>
      <c r="BD7" t="str">
        <f t="shared" si="12"/>
        <v xml:space="preserve"> 0xE0,</v>
      </c>
      <c r="BE7" t="str">
        <f t="shared" si="13"/>
        <v>224,</v>
      </c>
      <c r="BF7" t="str">
        <f t="shared" si="14"/>
        <v>11100000</v>
      </c>
      <c r="BG7">
        <v>1</v>
      </c>
      <c r="BH7">
        <v>1</v>
      </c>
      <c r="BI7">
        <v>1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0x01,</v>
      </c>
      <c r="C8" t="str">
        <f t="shared" si="1"/>
        <v>1,</v>
      </c>
      <c r="D8" t="str">
        <f t="shared" si="2"/>
        <v>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</v>
      </c>
      <c r="M8">
        <v>1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11000000</v>
      </c>
      <c r="V8" t="str">
        <f t="shared" si="4"/>
        <v>192,</v>
      </c>
      <c r="W8" t="str">
        <f t="shared" si="5"/>
        <v xml:space="preserve"> 0xC0,</v>
      </c>
      <c r="X8" t="s">
        <v>0</v>
      </c>
      <c r="Y8" t="s">
        <v>1</v>
      </c>
      <c r="AC8" t="str">
        <f t="shared" si="6"/>
        <v xml:space="preserve"> 0x70,</v>
      </c>
      <c r="AD8" t="str">
        <f t="shared" si="7"/>
        <v>112,</v>
      </c>
      <c r="AE8" t="str">
        <f t="shared" si="8"/>
        <v>01110000</v>
      </c>
      <c r="AF8">
        <v>0</v>
      </c>
      <c r="AG8">
        <v>1</v>
      </c>
      <c r="AH8">
        <v>1</v>
      </c>
      <c r="AI8">
        <v>1</v>
      </c>
      <c r="AJ8">
        <v>0</v>
      </c>
      <c r="AK8">
        <v>0</v>
      </c>
      <c r="AL8">
        <v>0</v>
      </c>
      <c r="AM8">
        <v>0</v>
      </c>
      <c r="AN8">
        <v>1</v>
      </c>
      <c r="AO8">
        <v>1</v>
      </c>
      <c r="AP8">
        <v>1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11100000</v>
      </c>
      <c r="AW8" t="str">
        <f t="shared" si="10"/>
        <v>224,</v>
      </c>
      <c r="AX8" t="str">
        <f t="shared" si="11"/>
        <v xml:space="preserve"> 0xE0,</v>
      </c>
      <c r="AY8" t="s">
        <v>0</v>
      </c>
      <c r="AZ8" t="s">
        <v>1</v>
      </c>
      <c r="BD8" t="str">
        <f t="shared" si="12"/>
        <v xml:space="preserve"> 0xE0,</v>
      </c>
      <c r="BE8" t="str">
        <f t="shared" si="13"/>
        <v>224,</v>
      </c>
      <c r="BF8" t="str">
        <f t="shared" si="14"/>
        <v>11100000</v>
      </c>
      <c r="BG8">
        <v>1</v>
      </c>
      <c r="BH8">
        <v>1</v>
      </c>
      <c r="BI8">
        <v>1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0x01,</v>
      </c>
      <c r="C9" t="str">
        <f t="shared" si="1"/>
        <v>1,</v>
      </c>
      <c r="D9" t="str">
        <f t="shared" si="2"/>
        <v>00000001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1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11000000</v>
      </c>
      <c r="V9" t="str">
        <f t="shared" si="4"/>
        <v>192,</v>
      </c>
      <c r="W9" t="str">
        <f t="shared" si="5"/>
        <v xml:space="preserve"> 0xC0,</v>
      </c>
      <c r="X9" t="s">
        <v>0</v>
      </c>
      <c r="Y9" t="s">
        <v>1</v>
      </c>
      <c r="AC9" t="str">
        <f t="shared" si="6"/>
        <v xml:space="preserve"> 0x71,</v>
      </c>
      <c r="AD9" t="str">
        <f t="shared" si="7"/>
        <v>113,</v>
      </c>
      <c r="AE9" t="str">
        <f t="shared" si="8"/>
        <v>01110001</v>
      </c>
      <c r="AF9">
        <v>0</v>
      </c>
      <c r="AG9">
        <v>1</v>
      </c>
      <c r="AH9">
        <v>1</v>
      </c>
      <c r="AI9">
        <v>1</v>
      </c>
      <c r="AJ9">
        <v>0</v>
      </c>
      <c r="AK9">
        <v>0</v>
      </c>
      <c r="AL9">
        <v>0</v>
      </c>
      <c r="AM9">
        <v>1</v>
      </c>
      <c r="AN9">
        <v>1</v>
      </c>
      <c r="AO9">
        <v>1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11000000</v>
      </c>
      <c r="AW9" t="str">
        <f t="shared" si="10"/>
        <v>192,</v>
      </c>
      <c r="AX9" t="str">
        <f t="shared" si="11"/>
        <v xml:space="preserve"> 0xC0,</v>
      </c>
      <c r="AY9" t="s">
        <v>0</v>
      </c>
      <c r="AZ9" t="s">
        <v>1</v>
      </c>
      <c r="BD9" t="str">
        <f t="shared" si="12"/>
        <v xml:space="preserve"> 0xE0,</v>
      </c>
      <c r="BE9" t="str">
        <f t="shared" si="13"/>
        <v>224,</v>
      </c>
      <c r="BF9" t="str">
        <f t="shared" si="14"/>
        <v>11100000</v>
      </c>
      <c r="BG9">
        <v>1</v>
      </c>
      <c r="BH9">
        <v>1</v>
      </c>
      <c r="BI9">
        <v>1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0x01,</v>
      </c>
      <c r="C10" t="str">
        <f t="shared" si="1"/>
        <v>1,</v>
      </c>
      <c r="D10" t="str">
        <f t="shared" si="2"/>
        <v>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1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11000000</v>
      </c>
      <c r="V10" t="str">
        <f t="shared" si="4"/>
        <v>192,</v>
      </c>
      <c r="W10" t="str">
        <f t="shared" si="5"/>
        <v xml:space="preserve"> 0xC0,</v>
      </c>
      <c r="X10" t="s">
        <v>0</v>
      </c>
      <c r="Y10" t="s">
        <v>1</v>
      </c>
      <c r="AC10" t="str">
        <f t="shared" si="6"/>
        <v xml:space="preserve"> 0x73,</v>
      </c>
      <c r="AD10" t="str">
        <f t="shared" si="7"/>
        <v>115,</v>
      </c>
      <c r="AE10" t="str">
        <f t="shared" si="8"/>
        <v>01110011</v>
      </c>
      <c r="AF10">
        <v>0</v>
      </c>
      <c r="AG10">
        <v>1</v>
      </c>
      <c r="AH10">
        <v>1</v>
      </c>
      <c r="AI10">
        <v>1</v>
      </c>
      <c r="AJ10">
        <v>0</v>
      </c>
      <c r="AK10">
        <v>0</v>
      </c>
      <c r="AL10">
        <v>1</v>
      </c>
      <c r="AM10">
        <v>1</v>
      </c>
      <c r="AN10">
        <v>1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10000000</v>
      </c>
      <c r="AW10" t="str">
        <f t="shared" si="10"/>
        <v>128,</v>
      </c>
      <c r="AX10" t="str">
        <f t="shared" si="11"/>
        <v xml:space="preserve"> 0x80,</v>
      </c>
      <c r="AY10" t="s">
        <v>0</v>
      </c>
      <c r="AZ10" t="s">
        <v>1</v>
      </c>
      <c r="BD10" t="str">
        <f t="shared" si="12"/>
        <v xml:space="preserve"> 0xE0,</v>
      </c>
      <c r="BE10" t="str">
        <f t="shared" si="13"/>
        <v>224,</v>
      </c>
      <c r="BF10" t="str">
        <f t="shared" si="14"/>
        <v>11100000</v>
      </c>
      <c r="BG10">
        <v>1</v>
      </c>
      <c r="BH10">
        <v>1</v>
      </c>
      <c r="BI10">
        <v>1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0x01,</v>
      </c>
      <c r="C11" t="str">
        <f t="shared" si="1"/>
        <v>1,</v>
      </c>
      <c r="D11" t="str">
        <f t="shared" si="2"/>
        <v>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11000000</v>
      </c>
      <c r="V11" t="str">
        <f t="shared" si="4"/>
        <v>192,</v>
      </c>
      <c r="W11" t="str">
        <f t="shared" si="5"/>
        <v xml:space="preserve"> 0xC0,</v>
      </c>
      <c r="X11" t="s">
        <v>0</v>
      </c>
      <c r="Y11" t="s">
        <v>1</v>
      </c>
      <c r="AC11" t="str">
        <f t="shared" si="6"/>
        <v xml:space="preserve"> 0x77,</v>
      </c>
      <c r="AD11" t="str">
        <f t="shared" si="7"/>
        <v>119,</v>
      </c>
      <c r="AE11" t="str">
        <f t="shared" si="8"/>
        <v>01110111</v>
      </c>
      <c r="AF11">
        <v>0</v>
      </c>
      <c r="AG11">
        <v>1</v>
      </c>
      <c r="AH11">
        <v>1</v>
      </c>
      <c r="AI11">
        <v>1</v>
      </c>
      <c r="AJ11">
        <v>0</v>
      </c>
      <c r="AK11">
        <v>1</v>
      </c>
      <c r="AL11">
        <v>1</v>
      </c>
      <c r="AM11">
        <v>1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0xE0,</v>
      </c>
      <c r="BE11" t="str">
        <f t="shared" si="13"/>
        <v>224,</v>
      </c>
      <c r="BF11" t="str">
        <f t="shared" si="14"/>
        <v>11100000</v>
      </c>
      <c r="BG11">
        <v>1</v>
      </c>
      <c r="BH11">
        <v>1</v>
      </c>
      <c r="BI11">
        <v>1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0x01,</v>
      </c>
      <c r="C12" t="str">
        <f t="shared" si="1"/>
        <v>1,</v>
      </c>
      <c r="D12" t="str">
        <f t="shared" si="2"/>
        <v>00000001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0x7E,</v>
      </c>
      <c r="AD12" t="str">
        <f t="shared" si="7"/>
        <v>126,</v>
      </c>
      <c r="AE12" t="str">
        <f t="shared" si="8"/>
        <v>01111110</v>
      </c>
      <c r="AF12">
        <v>0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0xE0,</v>
      </c>
      <c r="BE12" t="str">
        <f t="shared" si="13"/>
        <v>224,</v>
      </c>
      <c r="BF12" t="str">
        <f t="shared" si="14"/>
        <v>11100000</v>
      </c>
      <c r="BG12">
        <v>1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0x01,</v>
      </c>
      <c r="C13" t="str">
        <f t="shared" si="1"/>
        <v>1,</v>
      </c>
      <c r="D13" t="str">
        <f t="shared" si="2"/>
        <v>00000001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1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11000000</v>
      </c>
      <c r="V13" t="str">
        <f t="shared" si="4"/>
        <v>192,</v>
      </c>
      <c r="W13" t="str">
        <f t="shared" si="5"/>
        <v xml:space="preserve"> 0xC0,</v>
      </c>
      <c r="X13" t="s">
        <v>0</v>
      </c>
      <c r="Y13" t="s">
        <v>1</v>
      </c>
      <c r="AC13" t="str">
        <f t="shared" si="6"/>
        <v xml:space="preserve"> 0x7E,</v>
      </c>
      <c r="AD13" t="str">
        <f t="shared" si="7"/>
        <v>126,</v>
      </c>
      <c r="AE13" t="str">
        <f t="shared" si="8"/>
        <v>01111110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0xE0,</v>
      </c>
      <c r="BE13" t="str">
        <f t="shared" si="13"/>
        <v>224,</v>
      </c>
      <c r="BF13" t="str">
        <f t="shared" si="14"/>
        <v>11100000</v>
      </c>
      <c r="BG13">
        <v>1</v>
      </c>
      <c r="BH13">
        <v>1</v>
      </c>
      <c r="BI13">
        <v>1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0x01,</v>
      </c>
      <c r="C14" t="str">
        <f t="shared" si="1"/>
        <v>1,</v>
      </c>
      <c r="D14" t="str">
        <f t="shared" si="2"/>
        <v>00000001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11000000</v>
      </c>
      <c r="V14" t="str">
        <f t="shared" si="4"/>
        <v>192,</v>
      </c>
      <c r="W14" t="str">
        <f t="shared" si="5"/>
        <v xml:space="preserve"> 0xC0,</v>
      </c>
      <c r="X14" t="s">
        <v>0</v>
      </c>
      <c r="Y14" t="s">
        <v>1</v>
      </c>
      <c r="AC14" t="str">
        <f t="shared" si="6"/>
        <v xml:space="preserve"> 0x77,</v>
      </c>
      <c r="AD14" t="str">
        <f t="shared" si="7"/>
        <v>119,</v>
      </c>
      <c r="AE14" t="str">
        <f t="shared" si="8"/>
        <v>01110111</v>
      </c>
      <c r="AF14">
        <v>0</v>
      </c>
      <c r="AG14">
        <v>1</v>
      </c>
      <c r="AH14">
        <v>1</v>
      </c>
      <c r="AI14">
        <v>1</v>
      </c>
      <c r="AJ14">
        <v>0</v>
      </c>
      <c r="AK14">
        <v>1</v>
      </c>
      <c r="AL14">
        <v>1</v>
      </c>
      <c r="AM14">
        <v>1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0xE0,</v>
      </c>
      <c r="BE14" t="str">
        <f t="shared" si="13"/>
        <v>224,</v>
      </c>
      <c r="BF14" t="str">
        <f t="shared" si="14"/>
        <v>11100000</v>
      </c>
      <c r="BG14">
        <v>1</v>
      </c>
      <c r="BH14">
        <v>1</v>
      </c>
      <c r="BI14">
        <v>1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0x01,</v>
      </c>
      <c r="C15" t="str">
        <f t="shared" si="1"/>
        <v>1,</v>
      </c>
      <c r="D15" t="str">
        <f t="shared" si="2"/>
        <v>00000001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1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11000000</v>
      </c>
      <c r="V15" t="str">
        <f t="shared" si="4"/>
        <v>192,</v>
      </c>
      <c r="W15" t="str">
        <f t="shared" si="5"/>
        <v xml:space="preserve"> 0xC0,</v>
      </c>
      <c r="X15" t="s">
        <v>0</v>
      </c>
      <c r="Y15" t="s">
        <v>1</v>
      </c>
      <c r="AC15" t="str">
        <f t="shared" si="6"/>
        <v xml:space="preserve"> 0x73,</v>
      </c>
      <c r="AD15" t="str">
        <f t="shared" si="7"/>
        <v>115,</v>
      </c>
      <c r="AE15" t="str">
        <f t="shared" si="8"/>
        <v>01110011</v>
      </c>
      <c r="AF15">
        <v>0</v>
      </c>
      <c r="AG15">
        <v>1</v>
      </c>
      <c r="AH15">
        <v>1</v>
      </c>
      <c r="AI15">
        <v>1</v>
      </c>
      <c r="AJ15">
        <v>0</v>
      </c>
      <c r="AK15">
        <v>0</v>
      </c>
      <c r="AL15">
        <v>1</v>
      </c>
      <c r="AM15">
        <v>1</v>
      </c>
      <c r="AN15">
        <v>1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10000000</v>
      </c>
      <c r="AW15" t="str">
        <f t="shared" si="10"/>
        <v>128,</v>
      </c>
      <c r="AX15" t="str">
        <f t="shared" si="11"/>
        <v xml:space="preserve"> 0x80,</v>
      </c>
      <c r="AY15" t="s">
        <v>0</v>
      </c>
      <c r="AZ15" t="s">
        <v>1</v>
      </c>
      <c r="BD15" t="str">
        <f t="shared" si="12"/>
        <v xml:space="preserve"> 0xE0,</v>
      </c>
      <c r="BE15" t="str">
        <f t="shared" si="13"/>
        <v>224,</v>
      </c>
      <c r="BF15" t="str">
        <f t="shared" si="14"/>
        <v>11100000</v>
      </c>
      <c r="BG15">
        <v>1</v>
      </c>
      <c r="BH15">
        <v>1</v>
      </c>
      <c r="BI15">
        <v>1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0xE1,</v>
      </c>
      <c r="C16" t="str">
        <f t="shared" si="1"/>
        <v>225,</v>
      </c>
      <c r="D16" t="str">
        <f t="shared" si="2"/>
        <v>11100001</v>
      </c>
      <c r="E16">
        <v>1</v>
      </c>
      <c r="F16">
        <v>1</v>
      </c>
      <c r="G16">
        <v>1</v>
      </c>
      <c r="H16">
        <v>0</v>
      </c>
      <c r="I16">
        <v>0</v>
      </c>
      <c r="J16">
        <v>0</v>
      </c>
      <c r="K16">
        <v>0</v>
      </c>
      <c r="L16">
        <v>1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11000000</v>
      </c>
      <c r="V16" t="str">
        <f t="shared" si="4"/>
        <v>192,</v>
      </c>
      <c r="W16" t="str">
        <f t="shared" si="5"/>
        <v xml:space="preserve"> 0xC0,</v>
      </c>
      <c r="X16" t="s">
        <v>0</v>
      </c>
      <c r="Y16" t="s">
        <v>1</v>
      </c>
      <c r="AC16" t="str">
        <f t="shared" si="6"/>
        <v xml:space="preserve"> 0x71,</v>
      </c>
      <c r="AD16" t="str">
        <f t="shared" si="7"/>
        <v>113,</v>
      </c>
      <c r="AE16" t="str">
        <f t="shared" si="8"/>
        <v>01110001</v>
      </c>
      <c r="AF16">
        <v>0</v>
      </c>
      <c r="AG16">
        <v>1</v>
      </c>
      <c r="AH16">
        <v>1</v>
      </c>
      <c r="AI16">
        <v>1</v>
      </c>
      <c r="AJ16">
        <v>0</v>
      </c>
      <c r="AK16">
        <v>0</v>
      </c>
      <c r="AL16">
        <v>0</v>
      </c>
      <c r="AM16">
        <v>1</v>
      </c>
      <c r="AN16">
        <v>1</v>
      </c>
      <c r="AO16">
        <v>1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11000000</v>
      </c>
      <c r="AW16" t="str">
        <f t="shared" si="10"/>
        <v>192,</v>
      </c>
      <c r="AX16" t="str">
        <f t="shared" si="11"/>
        <v xml:space="preserve"> 0xC0,</v>
      </c>
      <c r="AY16" t="s">
        <v>0</v>
      </c>
      <c r="AZ16" t="s">
        <v>1</v>
      </c>
      <c r="BD16" t="str">
        <f t="shared" si="12"/>
        <v xml:space="preserve"> 0xE0,</v>
      </c>
      <c r="BE16" t="str">
        <f t="shared" si="13"/>
        <v>224,</v>
      </c>
      <c r="BF16" t="str">
        <f t="shared" si="14"/>
        <v>11100000</v>
      </c>
      <c r="BG16">
        <v>1</v>
      </c>
      <c r="BH16">
        <v>1</v>
      </c>
      <c r="BI16">
        <v>1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0xE1,</v>
      </c>
      <c r="C17" t="str">
        <f t="shared" si="1"/>
        <v>225,</v>
      </c>
      <c r="D17" t="str">
        <f t="shared" si="2"/>
        <v>11100001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0</v>
      </c>
      <c r="L17">
        <v>1</v>
      </c>
      <c r="M17">
        <v>1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11000000</v>
      </c>
      <c r="V17" t="str">
        <f t="shared" si="4"/>
        <v>192,</v>
      </c>
      <c r="W17" t="str">
        <f t="shared" si="5"/>
        <v xml:space="preserve"> 0xC0,</v>
      </c>
      <c r="X17" t="s">
        <v>0</v>
      </c>
      <c r="Y17" t="s">
        <v>1</v>
      </c>
      <c r="AC17" t="str">
        <f t="shared" si="6"/>
        <v xml:space="preserve"> 0x70,</v>
      </c>
      <c r="AD17" t="str">
        <f t="shared" si="7"/>
        <v>112,</v>
      </c>
      <c r="AE17" t="str">
        <f t="shared" si="8"/>
        <v>01110000</v>
      </c>
      <c r="AF17">
        <v>0</v>
      </c>
      <c r="AG17">
        <v>1</v>
      </c>
      <c r="AH17">
        <v>1</v>
      </c>
      <c r="AI17">
        <v>1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1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11100000</v>
      </c>
      <c r="AW17" t="str">
        <f t="shared" si="10"/>
        <v>224,</v>
      </c>
      <c r="AX17" t="str">
        <f t="shared" si="11"/>
        <v xml:space="preserve"> 0xE0,</v>
      </c>
      <c r="AY17" t="s">
        <v>0</v>
      </c>
      <c r="AZ17" t="s">
        <v>1</v>
      </c>
      <c r="BD17" t="str">
        <f t="shared" si="12"/>
        <v xml:space="preserve"> 0xE0,</v>
      </c>
      <c r="BE17" t="str">
        <f t="shared" si="13"/>
        <v>224,</v>
      </c>
      <c r="BF17" t="str">
        <f t="shared" si="14"/>
        <v>11100000</v>
      </c>
      <c r="BG17">
        <v>1</v>
      </c>
      <c r="BH17">
        <v>1</v>
      </c>
      <c r="BI17">
        <v>1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0xF3,</v>
      </c>
      <c r="C18" t="str">
        <f t="shared" si="1"/>
        <v>243,</v>
      </c>
      <c r="D18" t="str">
        <f t="shared" si="2"/>
        <v>11110011</v>
      </c>
      <c r="E18">
        <v>1</v>
      </c>
      <c r="F18">
        <v>1</v>
      </c>
      <c r="G18">
        <v>1</v>
      </c>
      <c r="H18">
        <v>1</v>
      </c>
      <c r="I18">
        <v>0</v>
      </c>
      <c r="J18">
        <v>0</v>
      </c>
      <c r="K18">
        <v>1</v>
      </c>
      <c r="L18">
        <v>1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11000000</v>
      </c>
      <c r="V18" t="str">
        <f t="shared" si="4"/>
        <v>192,</v>
      </c>
      <c r="W18" t="str">
        <f t="shared" si="5"/>
        <v xml:space="preserve"> 0xC0,</v>
      </c>
      <c r="X18" t="s">
        <v>0</v>
      </c>
      <c r="Y18" t="s">
        <v>1</v>
      </c>
      <c r="AC18" t="str">
        <f t="shared" si="6"/>
        <v xml:space="preserve"> 0x70,</v>
      </c>
      <c r="AD18" t="str">
        <f t="shared" si="7"/>
        <v>112,</v>
      </c>
      <c r="AE18" t="str">
        <f t="shared" si="8"/>
        <v>01110000</v>
      </c>
      <c r="AF18">
        <v>0</v>
      </c>
      <c r="AG18">
        <v>1</v>
      </c>
      <c r="AH18">
        <v>1</v>
      </c>
      <c r="AI18">
        <v>1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1</v>
      </c>
      <c r="AP18">
        <v>1</v>
      </c>
      <c r="AQ18">
        <v>1</v>
      </c>
      <c r="AR18">
        <v>0</v>
      </c>
      <c r="AS18">
        <v>0</v>
      </c>
      <c r="AT18">
        <v>0</v>
      </c>
      <c r="AU18">
        <v>0</v>
      </c>
      <c r="AV18" t="str">
        <f t="shared" si="9"/>
        <v>01110000</v>
      </c>
      <c r="AW18" t="str">
        <f t="shared" si="10"/>
        <v>112,</v>
      </c>
      <c r="AX18" t="str">
        <f t="shared" si="11"/>
        <v xml:space="preserve"> 0x70,</v>
      </c>
      <c r="AY18" t="s">
        <v>0</v>
      </c>
      <c r="AZ18" t="s">
        <v>1</v>
      </c>
      <c r="BD18" t="str">
        <f t="shared" si="12"/>
        <v xml:space="preserve"> 0xE1,</v>
      </c>
      <c r="BE18" t="str">
        <f t="shared" si="13"/>
        <v>225,</v>
      </c>
      <c r="BF18" t="str">
        <f t="shared" si="14"/>
        <v>11100001</v>
      </c>
      <c r="BG18">
        <v>1</v>
      </c>
      <c r="BH18">
        <v>1</v>
      </c>
      <c r="BI18">
        <v>1</v>
      </c>
      <c r="BJ18">
        <v>0</v>
      </c>
      <c r="BK18">
        <v>0</v>
      </c>
      <c r="BL18">
        <v>0</v>
      </c>
      <c r="BM18">
        <v>0</v>
      </c>
      <c r="BN18">
        <v>1</v>
      </c>
      <c r="BO18">
        <v>1</v>
      </c>
      <c r="BP18">
        <v>1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11000000</v>
      </c>
      <c r="BX18" t="str">
        <f t="shared" si="16"/>
        <v>192,</v>
      </c>
      <c r="BY18" t="str">
        <f t="shared" si="17"/>
        <v xml:space="preserve"> 0xC0,</v>
      </c>
      <c r="BZ18" t="s">
        <v>0</v>
      </c>
      <c r="CA18" t="s">
        <v>1</v>
      </c>
    </row>
    <row r="19" spans="1:79">
      <c r="B19" t="str">
        <f t="shared" si="0"/>
        <v xml:space="preserve"> 0x7F,</v>
      </c>
      <c r="C19" t="str">
        <f t="shared" si="1"/>
        <v>127,</v>
      </c>
      <c r="D19" t="str">
        <f t="shared" si="2"/>
        <v>01111111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10000000</v>
      </c>
      <c r="V19" t="str">
        <f t="shared" si="4"/>
        <v>128,</v>
      </c>
      <c r="W19" t="str">
        <f t="shared" si="5"/>
        <v xml:space="preserve"> 0x80,</v>
      </c>
      <c r="X19" t="s">
        <v>0</v>
      </c>
      <c r="Y19" t="s">
        <v>1</v>
      </c>
      <c r="AC19" t="str">
        <f t="shared" si="6"/>
        <v xml:space="preserve"> 0xF0,</v>
      </c>
      <c r="AD19" t="str">
        <f t="shared" si="7"/>
        <v>240,</v>
      </c>
      <c r="AE19" t="str">
        <f t="shared" si="8"/>
        <v>11110000</v>
      </c>
      <c r="AF19">
        <v>1</v>
      </c>
      <c r="AG19">
        <v>1</v>
      </c>
      <c r="AH19">
        <v>1</v>
      </c>
      <c r="AI19">
        <v>1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1</v>
      </c>
      <c r="AP19">
        <v>1</v>
      </c>
      <c r="AQ19">
        <v>1</v>
      </c>
      <c r="AR19">
        <v>0</v>
      </c>
      <c r="AS19">
        <v>0</v>
      </c>
      <c r="AT19">
        <v>0</v>
      </c>
      <c r="AU19">
        <v>0</v>
      </c>
      <c r="AV19" t="str">
        <f t="shared" si="9"/>
        <v>01110000</v>
      </c>
      <c r="AW19" t="str">
        <f t="shared" si="10"/>
        <v>112,</v>
      </c>
      <c r="AX19" t="str">
        <f t="shared" si="11"/>
        <v xml:space="preserve"> 0x70,</v>
      </c>
      <c r="AY19" t="s">
        <v>0</v>
      </c>
      <c r="AZ19" t="s">
        <v>1</v>
      </c>
      <c r="BD19" t="str">
        <f t="shared" si="12"/>
        <v xml:space="preserve"> 0xFF,</v>
      </c>
      <c r="BE19" t="str">
        <f t="shared" si="13"/>
        <v>255,</v>
      </c>
      <c r="BF19" t="str">
        <f t="shared" si="14"/>
        <v>11111111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11000000</v>
      </c>
      <c r="BX19" t="str">
        <f t="shared" si="16"/>
        <v>192,</v>
      </c>
      <c r="BY19" t="str">
        <f t="shared" si="17"/>
        <v xml:space="preserve"> 0xC0,</v>
      </c>
      <c r="BZ19" t="s">
        <v>0</v>
      </c>
      <c r="CA19" t="s">
        <v>1</v>
      </c>
    </row>
    <row r="20" spans="1:79">
      <c r="B20" t="str">
        <f t="shared" si="0"/>
        <v xml:space="preserve"> 0x3F,</v>
      </c>
      <c r="C20" t="str">
        <f t="shared" si="1"/>
        <v>63,</v>
      </c>
      <c r="D20" t="str">
        <f t="shared" si="2"/>
        <v>00111111</v>
      </c>
      <c r="E20">
        <v>0</v>
      </c>
      <c r="F20">
        <v>0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0xF0,</v>
      </c>
      <c r="AD20" t="str">
        <f t="shared" si="7"/>
        <v>240,</v>
      </c>
      <c r="AE20" t="str">
        <f t="shared" si="8"/>
        <v>11110000</v>
      </c>
      <c r="AF20">
        <v>1</v>
      </c>
      <c r="AG20">
        <v>1</v>
      </c>
      <c r="AH20">
        <v>1</v>
      </c>
      <c r="AI20">
        <v>1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1</v>
      </c>
      <c r="AP20">
        <v>1</v>
      </c>
      <c r="AQ20">
        <v>1</v>
      </c>
      <c r="AR20">
        <v>0</v>
      </c>
      <c r="AS20">
        <v>0</v>
      </c>
      <c r="AT20">
        <v>0</v>
      </c>
      <c r="AU20">
        <v>0</v>
      </c>
      <c r="AV20" t="str">
        <f t="shared" si="9"/>
        <v>01110000</v>
      </c>
      <c r="AW20" t="str">
        <f t="shared" si="10"/>
        <v>112,</v>
      </c>
      <c r="AX20" t="str">
        <f t="shared" si="11"/>
        <v xml:space="preserve"> 0x70,</v>
      </c>
      <c r="AY20" t="s">
        <v>0</v>
      </c>
      <c r="AZ20" t="s">
        <v>1</v>
      </c>
      <c r="BD20" t="str">
        <f t="shared" si="12"/>
        <v xml:space="preserve"> 0xFF,</v>
      </c>
      <c r="BE20" t="str">
        <f t="shared" si="13"/>
        <v>255,</v>
      </c>
      <c r="BF20" t="str">
        <f t="shared" si="14"/>
        <v>11111111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11000000</v>
      </c>
      <c r="BX20" t="str">
        <f t="shared" si="16"/>
        <v>192,</v>
      </c>
      <c r="BY20" t="str">
        <f t="shared" si="17"/>
        <v xml:space="preserve"> 0xC0,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1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12,</v>
      </c>
      <c r="V22" t="str">
        <f>Y20&amp;DEC2HEX(U22,2)&amp;X20</f>
        <v xml:space="preserve"> 0x0C,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1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12,</v>
      </c>
      <c r="AW22" t="str">
        <f>AZ20&amp;DEC2HEX(AV22,2)&amp;AY20</f>
        <v xml:space="preserve"> 0x0C,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10,</v>
      </c>
      <c r="BX22" t="str">
        <f>CA20&amp;DEC2HEX(BW22,2)&amp;BZ20</f>
        <v xml:space="preserve"> 0x0A,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12,7,240,7,240,1,192,1,192,1,192,1,192,1,192,1,192,1,192,1,192,1,192,225,192,225,192,243,192,127,128,63,0,//J//74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12,240,112,240,112,112,112,112,224,113,192,115,128,119,0,126,0,126,0,119,0,115,128,113,192,112,224,112,112,240,112,240,112,//K//75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10,224,0,224,0,224,0,224,0,224,0,224,0,224,0,224,0,224,0,224,0,224,0,224,0,224,0,225,192,255,192,255,192,//L//76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0x0C, 0x07, 0xF0, 0x07, 0xF0, 0x01, 0xC0, 0x01, 0xC0, 0x01, 0xC0, 0x01, 0xC0, 0x01, 0xC0, 0x01, 0xC0, 0x01, 0xC0, 0x01, 0xC0, 0x01, 0xC0, 0xE1, 0xC0, 0xE1, 0xC0, 0xF3, 0xC0, 0x7F, 0x80, 0x3F, 0x00,//J//74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0x0C, 0xF0, 0x70, 0xF0, 0x70, 0x70, 0x70, 0x70, 0xE0, 0x71, 0xC0, 0x73, 0x80, 0x77, 0x00, 0x7E, 0x00, 0x7E, 0x00, 0x77, 0x00, 0x73, 0x80, 0x71, 0xC0, 0x70, 0xE0, 0x70, 0x70, 0xF0, 0x70, 0xF0, 0x70,//K//75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0x0A, 0xE0, 0x00, 0xE0, 0x00, 0xE0, 0x00, 0xE0, 0x00, 0xE0, 0x00, 0xE0, 0x00, 0xE0, 0x00, 0xE0, 0x00, 0xE0, 0x00, 0xE0, 0x00, 0xE0, 0x00, 0xE0, 0x00, 0xE0, 0x00, 0xE1, 0xC0, 0xFF, 0xC0, 0xFF, 0xC0,//L//76</v>
      </c>
    </row>
    <row r="28" spans="1:79">
      <c r="A28" s="1" t="str">
        <f>$B$24</f>
        <v>12,7,240,7,240,1,192,1,192,1,192,1,192,1,192,1,192,1,192,1,192,1,192,225,192,225,192,243,192,127,128,63,0,//J//74</v>
      </c>
      <c r="E28" t="s">
        <v>4</v>
      </c>
      <c r="AB28" s="1" t="str">
        <f>$AC$24</f>
        <v>12,240,112,240,112,112,112,112,224,113,192,115,128,119,0,126,0,126,0,119,0,115,128,113,192,112,224,112,112,240,112,240,112,//K//75</v>
      </c>
      <c r="AF28" t="s">
        <v>4</v>
      </c>
      <c r="BC28" s="1" t="str">
        <f>$BD$24</f>
        <v>10,224,0,224,0,224,0,224,0,224,0,224,0,224,0,224,0,224,0,224,0,224,0,224,0,224,0,225,192,255,192,255,192,//L//76</v>
      </c>
      <c r="BG28" t="s">
        <v>4</v>
      </c>
    </row>
    <row r="29" spans="1:79">
      <c r="A29" s="2" t="str">
        <f>$B$25</f>
        <v xml:space="preserve"> 0x0C, 0x07, 0xF0, 0x07, 0xF0, 0x01, 0xC0, 0x01, 0xC0, 0x01, 0xC0, 0x01, 0xC0, 0x01, 0xC0, 0x01, 0xC0, 0x01, 0xC0, 0x01, 0xC0, 0x01, 0xC0, 0xE1, 0xC0, 0xE1, 0xC0, 0xF3, 0xC0, 0x7F, 0x80, 0x3F, 0x00,//J//74</v>
      </c>
      <c r="E29" t="s">
        <v>3</v>
      </c>
      <c r="AB29" s="2" t="str">
        <f>$AC$25</f>
        <v xml:space="preserve"> 0x0C, 0xF0, 0x70, 0xF0, 0x70, 0x70, 0x70, 0x70, 0xE0, 0x71, 0xC0, 0x73, 0x80, 0x77, 0x00, 0x7E, 0x00, 0x7E, 0x00, 0x77, 0x00, 0x73, 0x80, 0x71, 0xC0, 0x70, 0xE0, 0x70, 0x70, 0xF0, 0x70, 0xF0, 0x70,//K//75</v>
      </c>
      <c r="AF29" t="s">
        <v>3</v>
      </c>
      <c r="BC29" s="2" t="str">
        <f>$BD$25</f>
        <v xml:space="preserve"> 0x0A, 0xE0, 0x00, 0xE0, 0x00, 0xE0, 0x00, 0xE0, 0x00, 0xE0, 0x00, 0xE0, 0x00, 0xE0, 0x00, 0xE0, 0x00, 0xE0, 0x00, 0xE0, 0x00, 0xE0, 0x00, 0xE0, 0x00, 0xE0, 0x00, 0xE1, 0xC0, 0xFF, 0xC0, 0xFF, 0xC0,//L//76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G8:G17 H13:K13 H8:L12 E5:N5 E6:F20 H14:I17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N13:N18 M13:M19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48" priority="11" operator="greaterThan">
      <formula>1</formula>
    </cfRule>
  </conditionalFormatting>
  <conditionalFormatting sqref="AF6:AG20 AH6:AO7 AH18:AO19 AI8:AM12 AF5:AO5 AI13:AL15 AK16:AL17 AH8:AH17 AM13:AM17 AN8:AO17 AM20:AO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P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47" priority="6" operator="greaterThan">
      <formula>1</formula>
    </cfRule>
  </conditionalFormatting>
  <conditionalFormatting sqref="BG6:BH20 BI6:BP7 BI18:BP19 BJ13:BM13 BJ8:BN12 BG5:BP5 BM14:BM17 BI8:BI17 BN13:BN17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O18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46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7"/>
  <dimension ref="A4:CB29"/>
  <sheetViews>
    <sheetView workbookViewId="0">
      <selection activeCell="AI30" sqref="AI30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77</v>
      </c>
      <c r="Z4" t="s">
        <v>5</v>
      </c>
      <c r="AB4" s="3">
        <v>78</v>
      </c>
      <c r="BA4" t="s">
        <v>5</v>
      </c>
      <c r="BC4" s="3">
        <v>79</v>
      </c>
      <c r="CB4" t="s">
        <v>5</v>
      </c>
    </row>
    <row r="5" spans="1:80">
      <c r="A5" s="3" t="s">
        <v>246</v>
      </c>
      <c r="B5" t="str">
        <f>Z5&amp;Y5&amp;BIN2HEX(D5,2)&amp;X5</f>
        <v xml:space="preserve"> 0xE0,</v>
      </c>
      <c r="C5" t="str">
        <f>Z5&amp;BIN2DEC(D5)&amp;X5</f>
        <v>224,</v>
      </c>
      <c r="D5" t="str">
        <f>E5&amp;F5&amp;G5&amp;H5&amp;I5&amp;J5&amp;K5&amp;L5</f>
        <v>11100000</v>
      </c>
      <c r="E5">
        <v>1</v>
      </c>
      <c r="F5">
        <v>1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1</v>
      </c>
      <c r="N5">
        <v>1</v>
      </c>
      <c r="O5">
        <v>1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11100000</v>
      </c>
      <c r="V5" t="str">
        <f>Z5&amp;BIN2DEC(U5)&amp;X5</f>
        <v>224,</v>
      </c>
      <c r="W5" t="str">
        <f>Z5&amp;Y5&amp;BIN2HEX(U5,2)&amp;X5</f>
        <v xml:space="preserve"> 0xE0,</v>
      </c>
      <c r="X5" t="s">
        <v>0</v>
      </c>
      <c r="Y5" t="s">
        <v>1</v>
      </c>
      <c r="AB5" s="3" t="s">
        <v>247</v>
      </c>
      <c r="AC5" t="str">
        <f>BA5&amp;AZ5&amp;BIN2HEX(AE5,2)&amp;AY5</f>
        <v xml:space="preserve"> 0xE0,</v>
      </c>
      <c r="AD5" t="str">
        <f>BA5&amp;BIN2DEC(AE5)&amp;AY5</f>
        <v>224,</v>
      </c>
      <c r="AE5" t="str">
        <f>AF5&amp;AG5&amp;AH5&amp;AI5&amp;AJ5&amp;AK5&amp;AL5&amp;AM5</f>
        <v>11100000</v>
      </c>
      <c r="AF5">
        <v>1</v>
      </c>
      <c r="AG5">
        <v>1</v>
      </c>
      <c r="AH5">
        <v>1</v>
      </c>
      <c r="AI5">
        <v>0</v>
      </c>
      <c r="AJ5">
        <v>0</v>
      </c>
      <c r="AK5">
        <v>0</v>
      </c>
      <c r="AL5">
        <v>0</v>
      </c>
      <c r="AM5">
        <v>0</v>
      </c>
      <c r="AN5">
        <v>1</v>
      </c>
      <c r="AO5">
        <v>1</v>
      </c>
      <c r="AP5">
        <v>1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11100000</v>
      </c>
      <c r="AW5" t="str">
        <f>BA5&amp;BIN2DEC(AV5)&amp;AY5</f>
        <v>224,</v>
      </c>
      <c r="AX5" t="str">
        <f>BA5&amp;AZ5&amp;BIN2HEX(AV5,2)&amp;AY5</f>
        <v xml:space="preserve"> 0xE0,</v>
      </c>
      <c r="AY5" t="s">
        <v>0</v>
      </c>
      <c r="AZ5" t="s">
        <v>1</v>
      </c>
      <c r="BC5" s="3" t="s">
        <v>248</v>
      </c>
      <c r="BD5" t="str">
        <f>CB5&amp;CA5&amp;BIN2HEX(BF5,2)&amp;BZ5</f>
        <v xml:space="preserve"> 0x3F,</v>
      </c>
      <c r="BE5" t="str">
        <f>CB5&amp;BIN2DEC(BF5)&amp;BZ5</f>
        <v>63,</v>
      </c>
      <c r="BF5" t="str">
        <f>BG5&amp;BH5&amp;BI5&amp;BJ5&amp;BK5&amp;BL5&amp;BM5&amp;BN5</f>
        <v>00111111</v>
      </c>
      <c r="BG5">
        <v>0</v>
      </c>
      <c r="BH5">
        <v>0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11000000</v>
      </c>
      <c r="BX5" t="str">
        <f>CB5&amp;BIN2DEC(BW5)&amp;BZ5</f>
        <v>192,</v>
      </c>
      <c r="BY5" t="str">
        <f>CB5&amp;CA5&amp;BIN2HEX(BW5,2)&amp;BZ5</f>
        <v xml:space="preserve"> 0xC0,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0xE0,</v>
      </c>
      <c r="C6" t="str">
        <f t="shared" ref="C6:C20" si="1">Z6&amp;BIN2DEC(D6)&amp;X6</f>
        <v>224,</v>
      </c>
      <c r="D6" t="str">
        <f t="shared" ref="D6:D20" si="2">E6&amp;F6&amp;G6&amp;H6&amp;I6&amp;J6&amp;K6&amp;L6</f>
        <v>11100000</v>
      </c>
      <c r="E6">
        <v>1</v>
      </c>
      <c r="F6">
        <v>1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1</v>
      </c>
      <c r="N6">
        <v>1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11100000</v>
      </c>
      <c r="V6" t="str">
        <f t="shared" ref="V6:V20" si="4">Z6&amp;BIN2DEC(U6)&amp;X6</f>
        <v>224,</v>
      </c>
      <c r="W6" t="str">
        <f t="shared" ref="W6:W20" si="5">Z6&amp;Y6&amp;BIN2HEX(U6,2)&amp;X6</f>
        <v xml:space="preserve"> 0xE0,</v>
      </c>
      <c r="X6" t="s">
        <v>0</v>
      </c>
      <c r="Y6" t="s">
        <v>1</v>
      </c>
      <c r="AC6" t="str">
        <f t="shared" ref="AC6:AC20" si="6">BA6&amp;AZ6&amp;BIN2HEX(AE6,2)&amp;AY6</f>
        <v xml:space="preserve"> 0xE0,</v>
      </c>
      <c r="AD6" t="str">
        <f t="shared" ref="AD6:AD20" si="7">BA6&amp;BIN2DEC(AE6)&amp;AY6</f>
        <v>224,</v>
      </c>
      <c r="AE6" t="str">
        <f t="shared" ref="AE6:AE20" si="8">AF6&amp;AG6&amp;AH6&amp;AI6&amp;AJ6&amp;AK6&amp;AL6&amp;AM6</f>
        <v>11100000</v>
      </c>
      <c r="AF6">
        <v>1</v>
      </c>
      <c r="AG6">
        <v>1</v>
      </c>
      <c r="AH6">
        <v>1</v>
      </c>
      <c r="AI6">
        <v>0</v>
      </c>
      <c r="AJ6">
        <v>0</v>
      </c>
      <c r="AK6">
        <v>0</v>
      </c>
      <c r="AL6">
        <v>0</v>
      </c>
      <c r="AM6">
        <v>0</v>
      </c>
      <c r="AN6">
        <v>1</v>
      </c>
      <c r="AO6">
        <v>1</v>
      </c>
      <c r="AP6">
        <v>1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11100000</v>
      </c>
      <c r="AW6" t="str">
        <f t="shared" ref="AW6:AW20" si="10">BA6&amp;BIN2DEC(AV6)&amp;AY6</f>
        <v>224,</v>
      </c>
      <c r="AX6" t="str">
        <f t="shared" ref="AX6:AX20" si="11">BA6&amp;AZ6&amp;BIN2HEX(AV6,2)&amp;AY6</f>
        <v xml:space="preserve"> 0xE0,</v>
      </c>
      <c r="AY6" t="s">
        <v>0</v>
      </c>
      <c r="AZ6" t="s">
        <v>1</v>
      </c>
      <c r="BD6" t="str">
        <f t="shared" ref="BD6:BD20" si="12">CB6&amp;CA6&amp;BIN2HEX(BF6,2)&amp;BZ6</f>
        <v xml:space="preserve"> 0x7F,</v>
      </c>
      <c r="BE6" t="str">
        <f t="shared" ref="BE6:BE20" si="13">CB6&amp;BIN2DEC(BF6)&amp;BZ6</f>
        <v>127,</v>
      </c>
      <c r="BF6" t="str">
        <f t="shared" ref="BF6:BF20" si="14">BG6&amp;BH6&amp;BI6&amp;BJ6&amp;BK6&amp;BL6&amp;BM6&amp;BN6</f>
        <v>01111111</v>
      </c>
      <c r="BG6">
        <v>0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11100000</v>
      </c>
      <c r="BX6" t="str">
        <f t="shared" ref="BX6:BX20" si="16">CB6&amp;BIN2DEC(BW6)&amp;BZ6</f>
        <v>224,</v>
      </c>
      <c r="BY6" t="str">
        <f t="shared" ref="BY6:BY20" si="17">CB6&amp;CA6&amp;BIN2HEX(BW6,2)&amp;BZ6</f>
        <v xml:space="preserve"> 0xE0,</v>
      </c>
      <c r="BZ6" t="s">
        <v>0</v>
      </c>
      <c r="CA6" t="s">
        <v>1</v>
      </c>
    </row>
    <row r="7" spans="1:80">
      <c r="B7" t="str">
        <f t="shared" si="0"/>
        <v xml:space="preserve"> 0xF1,</v>
      </c>
      <c r="C7" t="str">
        <f t="shared" si="1"/>
        <v>241,</v>
      </c>
      <c r="D7" t="str">
        <f t="shared" si="2"/>
        <v>11110001</v>
      </c>
      <c r="E7">
        <v>1</v>
      </c>
      <c r="F7">
        <v>1</v>
      </c>
      <c r="G7">
        <v>1</v>
      </c>
      <c r="H7">
        <v>1</v>
      </c>
      <c r="I7">
        <v>0</v>
      </c>
      <c r="J7">
        <v>0</v>
      </c>
      <c r="K7">
        <v>0</v>
      </c>
      <c r="L7">
        <v>1</v>
      </c>
      <c r="M7">
        <v>1</v>
      </c>
      <c r="N7">
        <v>1</v>
      </c>
      <c r="O7">
        <v>1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11100000</v>
      </c>
      <c r="V7" t="str">
        <f t="shared" si="4"/>
        <v>224,</v>
      </c>
      <c r="W7" t="str">
        <f t="shared" si="5"/>
        <v xml:space="preserve"> 0xE0,</v>
      </c>
      <c r="X7" t="s">
        <v>0</v>
      </c>
      <c r="Y7" t="s">
        <v>1</v>
      </c>
      <c r="AC7" t="str">
        <f t="shared" si="6"/>
        <v xml:space="preserve"> 0xF0,</v>
      </c>
      <c r="AD7" t="str">
        <f t="shared" si="7"/>
        <v>240,</v>
      </c>
      <c r="AE7" t="str">
        <f t="shared" si="8"/>
        <v>11110000</v>
      </c>
      <c r="AF7">
        <v>1</v>
      </c>
      <c r="AG7">
        <v>1</v>
      </c>
      <c r="AH7">
        <v>1</v>
      </c>
      <c r="AI7">
        <v>1</v>
      </c>
      <c r="AJ7">
        <v>0</v>
      </c>
      <c r="AK7">
        <v>0</v>
      </c>
      <c r="AL7">
        <v>0</v>
      </c>
      <c r="AM7">
        <v>0</v>
      </c>
      <c r="AN7">
        <v>1</v>
      </c>
      <c r="AO7">
        <v>1</v>
      </c>
      <c r="AP7">
        <v>1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11100000</v>
      </c>
      <c r="AW7" t="str">
        <f t="shared" si="10"/>
        <v>224,</v>
      </c>
      <c r="AX7" t="str">
        <f t="shared" si="11"/>
        <v xml:space="preserve"> 0xE0,</v>
      </c>
      <c r="AY7" t="s">
        <v>0</v>
      </c>
      <c r="AZ7" t="s">
        <v>1</v>
      </c>
      <c r="BD7" t="str">
        <f t="shared" si="12"/>
        <v xml:space="preserve"> 0xF0,</v>
      </c>
      <c r="BE7" t="str">
        <f t="shared" si="13"/>
        <v>240,</v>
      </c>
      <c r="BF7" t="str">
        <f t="shared" si="14"/>
        <v>11110000</v>
      </c>
      <c r="BG7">
        <v>1</v>
      </c>
      <c r="BH7">
        <v>1</v>
      </c>
      <c r="BI7">
        <v>1</v>
      </c>
      <c r="BJ7">
        <v>1</v>
      </c>
      <c r="BK7">
        <v>0</v>
      </c>
      <c r="BL7">
        <v>0</v>
      </c>
      <c r="BM7">
        <v>0</v>
      </c>
      <c r="BN7">
        <v>0</v>
      </c>
      <c r="BO7">
        <v>1</v>
      </c>
      <c r="BP7">
        <v>1</v>
      </c>
      <c r="BQ7">
        <v>1</v>
      </c>
      <c r="BR7">
        <v>1</v>
      </c>
      <c r="BS7">
        <v>0</v>
      </c>
      <c r="BT7">
        <v>0</v>
      </c>
      <c r="BU7">
        <v>0</v>
      </c>
      <c r="BV7">
        <v>0</v>
      </c>
      <c r="BW7" t="str">
        <f t="shared" si="15"/>
        <v>11110000</v>
      </c>
      <c r="BX7" t="str">
        <f t="shared" si="16"/>
        <v>240,</v>
      </c>
      <c r="BY7" t="str">
        <f t="shared" si="17"/>
        <v xml:space="preserve"> 0xF0,</v>
      </c>
      <c r="BZ7" t="s">
        <v>0</v>
      </c>
      <c r="CA7" t="s">
        <v>1</v>
      </c>
    </row>
    <row r="8" spans="1:80">
      <c r="B8" t="str">
        <f t="shared" si="0"/>
        <v xml:space="preserve"> 0xF1,</v>
      </c>
      <c r="C8" t="str">
        <f t="shared" si="1"/>
        <v>241,</v>
      </c>
      <c r="D8" t="str">
        <f t="shared" si="2"/>
        <v>11110001</v>
      </c>
      <c r="E8">
        <v>1</v>
      </c>
      <c r="F8">
        <v>1</v>
      </c>
      <c r="G8">
        <v>1</v>
      </c>
      <c r="H8">
        <v>1</v>
      </c>
      <c r="I8">
        <v>0</v>
      </c>
      <c r="J8">
        <v>0</v>
      </c>
      <c r="K8">
        <v>0</v>
      </c>
      <c r="L8">
        <v>1</v>
      </c>
      <c r="M8">
        <v>1</v>
      </c>
      <c r="N8">
        <v>1</v>
      </c>
      <c r="O8">
        <v>1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11100000</v>
      </c>
      <c r="V8" t="str">
        <f t="shared" si="4"/>
        <v>224,</v>
      </c>
      <c r="W8" t="str">
        <f t="shared" si="5"/>
        <v xml:space="preserve"> 0xE0,</v>
      </c>
      <c r="X8" t="s">
        <v>0</v>
      </c>
      <c r="Y8" t="s">
        <v>1</v>
      </c>
      <c r="AC8" t="str">
        <f t="shared" si="6"/>
        <v xml:space="preserve"> 0xF0,</v>
      </c>
      <c r="AD8" t="str">
        <f t="shared" si="7"/>
        <v>240,</v>
      </c>
      <c r="AE8" t="str">
        <f t="shared" si="8"/>
        <v>11110000</v>
      </c>
      <c r="AF8">
        <v>1</v>
      </c>
      <c r="AG8">
        <v>1</v>
      </c>
      <c r="AH8">
        <v>1</v>
      </c>
      <c r="AI8">
        <v>1</v>
      </c>
      <c r="AJ8">
        <v>0</v>
      </c>
      <c r="AK8">
        <v>0</v>
      </c>
      <c r="AL8">
        <v>0</v>
      </c>
      <c r="AM8">
        <v>0</v>
      </c>
      <c r="AN8">
        <v>1</v>
      </c>
      <c r="AO8">
        <v>1</v>
      </c>
      <c r="AP8">
        <v>1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11100000</v>
      </c>
      <c r="AW8" t="str">
        <f t="shared" si="10"/>
        <v>224,</v>
      </c>
      <c r="AX8" t="str">
        <f t="shared" si="11"/>
        <v xml:space="preserve"> 0xE0,</v>
      </c>
      <c r="AY8" t="s">
        <v>0</v>
      </c>
      <c r="AZ8" t="s">
        <v>1</v>
      </c>
      <c r="BD8" t="str">
        <f t="shared" si="12"/>
        <v xml:space="preserve"> 0xE0,</v>
      </c>
      <c r="BE8" t="str">
        <f t="shared" si="13"/>
        <v>224,</v>
      </c>
      <c r="BF8" t="str">
        <f t="shared" si="14"/>
        <v>11100000</v>
      </c>
      <c r="BG8">
        <v>1</v>
      </c>
      <c r="BH8">
        <v>1</v>
      </c>
      <c r="BI8">
        <v>1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1</v>
      </c>
      <c r="BQ8">
        <v>1</v>
      </c>
      <c r="BR8">
        <v>1</v>
      </c>
      <c r="BS8">
        <v>0</v>
      </c>
      <c r="BT8">
        <v>0</v>
      </c>
      <c r="BU8">
        <v>0</v>
      </c>
      <c r="BV8">
        <v>0</v>
      </c>
      <c r="BW8" t="str">
        <f t="shared" si="15"/>
        <v>01110000</v>
      </c>
      <c r="BX8" t="str">
        <f t="shared" si="16"/>
        <v>112,</v>
      </c>
      <c r="BY8" t="str">
        <f t="shared" si="17"/>
        <v xml:space="preserve"> 0x70,</v>
      </c>
      <c r="BZ8" t="s">
        <v>0</v>
      </c>
      <c r="CA8" t="s">
        <v>1</v>
      </c>
    </row>
    <row r="9" spans="1:80">
      <c r="B9" t="str">
        <f t="shared" si="0"/>
        <v xml:space="preserve"> 0xFB,</v>
      </c>
      <c r="C9" t="str">
        <f t="shared" si="1"/>
        <v>251,</v>
      </c>
      <c r="D9" t="str">
        <f t="shared" si="2"/>
        <v>11111011</v>
      </c>
      <c r="E9">
        <v>1</v>
      </c>
      <c r="F9">
        <v>1</v>
      </c>
      <c r="G9">
        <v>1</v>
      </c>
      <c r="H9">
        <v>1</v>
      </c>
      <c r="I9">
        <v>1</v>
      </c>
      <c r="J9">
        <v>0</v>
      </c>
      <c r="K9">
        <v>1</v>
      </c>
      <c r="L9">
        <v>1</v>
      </c>
      <c r="M9">
        <v>1</v>
      </c>
      <c r="N9">
        <v>1</v>
      </c>
      <c r="O9">
        <v>1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11100000</v>
      </c>
      <c r="V9" t="str">
        <f t="shared" si="4"/>
        <v>224,</v>
      </c>
      <c r="W9" t="str">
        <f t="shared" si="5"/>
        <v xml:space="preserve"> 0xE0,</v>
      </c>
      <c r="X9" t="s">
        <v>0</v>
      </c>
      <c r="Y9" t="s">
        <v>1</v>
      </c>
      <c r="AC9" t="str">
        <f t="shared" si="6"/>
        <v xml:space="preserve"> 0xF8,</v>
      </c>
      <c r="AD9" t="str">
        <f t="shared" si="7"/>
        <v>248,</v>
      </c>
      <c r="AE9" t="str">
        <f t="shared" si="8"/>
        <v>11111000</v>
      </c>
      <c r="AF9">
        <v>1</v>
      </c>
      <c r="AG9">
        <v>1</v>
      </c>
      <c r="AH9">
        <v>1</v>
      </c>
      <c r="AI9">
        <v>1</v>
      </c>
      <c r="AJ9">
        <v>1</v>
      </c>
      <c r="AK9">
        <v>0</v>
      </c>
      <c r="AL9">
        <v>0</v>
      </c>
      <c r="AM9">
        <v>0</v>
      </c>
      <c r="AN9">
        <v>1</v>
      </c>
      <c r="AO9">
        <v>1</v>
      </c>
      <c r="AP9">
        <v>1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11100000</v>
      </c>
      <c r="AW9" t="str">
        <f t="shared" si="10"/>
        <v>224,</v>
      </c>
      <c r="AX9" t="str">
        <f t="shared" si="11"/>
        <v xml:space="preserve"> 0xE0,</v>
      </c>
      <c r="AY9" t="s">
        <v>0</v>
      </c>
      <c r="AZ9" t="s">
        <v>1</v>
      </c>
      <c r="BD9" t="str">
        <f t="shared" si="12"/>
        <v xml:space="preserve"> 0xE0,</v>
      </c>
      <c r="BE9" t="str">
        <f t="shared" si="13"/>
        <v>224,</v>
      </c>
      <c r="BF9" t="str">
        <f t="shared" si="14"/>
        <v>11100000</v>
      </c>
      <c r="BG9">
        <v>1</v>
      </c>
      <c r="BH9">
        <v>1</v>
      </c>
      <c r="BI9">
        <v>1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1</v>
      </c>
      <c r="BQ9">
        <v>1</v>
      </c>
      <c r="BR9">
        <v>1</v>
      </c>
      <c r="BS9">
        <v>0</v>
      </c>
      <c r="BT9">
        <v>0</v>
      </c>
      <c r="BU9">
        <v>0</v>
      </c>
      <c r="BV9">
        <v>0</v>
      </c>
      <c r="BW9" t="str">
        <f t="shared" si="15"/>
        <v>01110000</v>
      </c>
      <c r="BX9" t="str">
        <f t="shared" si="16"/>
        <v>112,</v>
      </c>
      <c r="BY9" t="str">
        <f t="shared" si="17"/>
        <v xml:space="preserve"> 0x70,</v>
      </c>
      <c r="BZ9" t="s">
        <v>0</v>
      </c>
      <c r="CA9" t="s">
        <v>1</v>
      </c>
    </row>
    <row r="10" spans="1:80">
      <c r="B10" t="str">
        <f t="shared" si="0"/>
        <v xml:space="preserve"> 0xFF,</v>
      </c>
      <c r="C10" t="str">
        <f t="shared" si="1"/>
        <v>255,</v>
      </c>
      <c r="D10" t="str">
        <f t="shared" si="2"/>
        <v>11111111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11100000</v>
      </c>
      <c r="V10" t="str">
        <f t="shared" si="4"/>
        <v>224,</v>
      </c>
      <c r="W10" t="str">
        <f t="shared" si="5"/>
        <v xml:space="preserve"> 0xE0,</v>
      </c>
      <c r="X10" t="s">
        <v>0</v>
      </c>
      <c r="Y10" t="s">
        <v>1</v>
      </c>
      <c r="AC10" t="str">
        <f t="shared" si="6"/>
        <v xml:space="preserve"> 0xF8,</v>
      </c>
      <c r="AD10" t="str">
        <f t="shared" si="7"/>
        <v>248,</v>
      </c>
      <c r="AE10" t="str">
        <f t="shared" si="8"/>
        <v>11111000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0</v>
      </c>
      <c r="AL10">
        <v>0</v>
      </c>
      <c r="AM10">
        <v>0</v>
      </c>
      <c r="AN10">
        <v>1</v>
      </c>
      <c r="AO10">
        <v>1</v>
      </c>
      <c r="AP10">
        <v>1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11100000</v>
      </c>
      <c r="AW10" t="str">
        <f t="shared" si="10"/>
        <v>224,</v>
      </c>
      <c r="AX10" t="str">
        <f t="shared" si="11"/>
        <v xml:space="preserve"> 0xE0,</v>
      </c>
      <c r="AY10" t="s">
        <v>0</v>
      </c>
      <c r="AZ10" t="s">
        <v>1</v>
      </c>
      <c r="BD10" t="str">
        <f t="shared" si="12"/>
        <v xml:space="preserve"> 0xE0,</v>
      </c>
      <c r="BE10" t="str">
        <f t="shared" si="13"/>
        <v>224,</v>
      </c>
      <c r="BF10" t="str">
        <f t="shared" si="14"/>
        <v>11100000</v>
      </c>
      <c r="BG10">
        <v>1</v>
      </c>
      <c r="BH10">
        <v>1</v>
      </c>
      <c r="BI10">
        <v>1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1</v>
      </c>
      <c r="BQ10">
        <v>1</v>
      </c>
      <c r="BR10">
        <v>1</v>
      </c>
      <c r="BS10">
        <v>0</v>
      </c>
      <c r="BT10">
        <v>0</v>
      </c>
      <c r="BU10">
        <v>0</v>
      </c>
      <c r="BV10">
        <v>0</v>
      </c>
      <c r="BW10" t="str">
        <f t="shared" si="15"/>
        <v>01110000</v>
      </c>
      <c r="BX10" t="str">
        <f t="shared" si="16"/>
        <v>112,</v>
      </c>
      <c r="BY10" t="str">
        <f t="shared" si="17"/>
        <v xml:space="preserve"> 0x70,</v>
      </c>
      <c r="BZ10" t="s">
        <v>0</v>
      </c>
      <c r="CA10" t="s">
        <v>1</v>
      </c>
    </row>
    <row r="11" spans="1:80">
      <c r="B11" t="str">
        <f t="shared" si="0"/>
        <v xml:space="preserve"> 0xFF,</v>
      </c>
      <c r="C11" t="str">
        <f t="shared" si="1"/>
        <v>255,</v>
      </c>
      <c r="D11" t="str">
        <f t="shared" si="2"/>
        <v>11111111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11100000</v>
      </c>
      <c r="V11" t="str">
        <f t="shared" si="4"/>
        <v>224,</v>
      </c>
      <c r="W11" t="str">
        <f t="shared" si="5"/>
        <v xml:space="preserve"> 0xE0,</v>
      </c>
      <c r="X11" t="s">
        <v>0</v>
      </c>
      <c r="Y11" t="s">
        <v>1</v>
      </c>
      <c r="AC11" t="str">
        <f t="shared" si="6"/>
        <v xml:space="preserve"> 0xEC,</v>
      </c>
      <c r="AD11" t="str">
        <f t="shared" si="7"/>
        <v>236,</v>
      </c>
      <c r="AE11" t="str">
        <f t="shared" si="8"/>
        <v>11101100</v>
      </c>
      <c r="AF11">
        <v>1</v>
      </c>
      <c r="AG11">
        <v>1</v>
      </c>
      <c r="AH11">
        <v>1</v>
      </c>
      <c r="AI11">
        <v>0</v>
      </c>
      <c r="AJ11">
        <v>1</v>
      </c>
      <c r="AK11">
        <v>1</v>
      </c>
      <c r="AL11">
        <v>0</v>
      </c>
      <c r="AM11">
        <v>0</v>
      </c>
      <c r="AN11">
        <v>1</v>
      </c>
      <c r="AO11">
        <v>1</v>
      </c>
      <c r="AP11">
        <v>1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11100000</v>
      </c>
      <c r="AW11" t="str">
        <f t="shared" si="10"/>
        <v>224,</v>
      </c>
      <c r="AX11" t="str">
        <f t="shared" si="11"/>
        <v xml:space="preserve"> 0xE0,</v>
      </c>
      <c r="AY11" t="s">
        <v>0</v>
      </c>
      <c r="AZ11" t="s">
        <v>1</v>
      </c>
      <c r="BD11" t="str">
        <f t="shared" si="12"/>
        <v xml:space="preserve"> 0xE0,</v>
      </c>
      <c r="BE11" t="str">
        <f t="shared" si="13"/>
        <v>224,</v>
      </c>
      <c r="BF11" t="str">
        <f t="shared" si="14"/>
        <v>11100000</v>
      </c>
      <c r="BG11">
        <v>1</v>
      </c>
      <c r="BH11">
        <v>1</v>
      </c>
      <c r="BI11">
        <v>1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1</v>
      </c>
      <c r="BQ11">
        <v>1</v>
      </c>
      <c r="BR11">
        <v>1</v>
      </c>
      <c r="BS11">
        <v>0</v>
      </c>
      <c r="BT11">
        <v>0</v>
      </c>
      <c r="BU11">
        <v>0</v>
      </c>
      <c r="BV11">
        <v>0</v>
      </c>
      <c r="BW11" t="str">
        <f t="shared" si="15"/>
        <v>01110000</v>
      </c>
      <c r="BX11" t="str">
        <f t="shared" si="16"/>
        <v>112,</v>
      </c>
      <c r="BY11" t="str">
        <f t="shared" si="17"/>
        <v xml:space="preserve"> 0x70,</v>
      </c>
      <c r="BZ11" t="s">
        <v>0</v>
      </c>
      <c r="CA11" t="s">
        <v>1</v>
      </c>
    </row>
    <row r="12" spans="1:80">
      <c r="B12" t="str">
        <f t="shared" si="0"/>
        <v xml:space="preserve"> 0xEE,</v>
      </c>
      <c r="C12" t="str">
        <f t="shared" si="1"/>
        <v>238,</v>
      </c>
      <c r="D12" t="str">
        <f t="shared" si="2"/>
        <v>11101110</v>
      </c>
      <c r="E12">
        <v>1</v>
      </c>
      <c r="F12">
        <v>1</v>
      </c>
      <c r="G12">
        <v>1</v>
      </c>
      <c r="H12">
        <v>0</v>
      </c>
      <c r="I12">
        <v>1</v>
      </c>
      <c r="J12">
        <v>1</v>
      </c>
      <c r="K12">
        <v>1</v>
      </c>
      <c r="L12">
        <v>0</v>
      </c>
      <c r="M12">
        <v>1</v>
      </c>
      <c r="N12">
        <v>1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11100000</v>
      </c>
      <c r="V12" t="str">
        <f t="shared" si="4"/>
        <v>224,</v>
      </c>
      <c r="W12" t="str">
        <f t="shared" si="5"/>
        <v xml:space="preserve"> 0xE0,</v>
      </c>
      <c r="X12" t="s">
        <v>0</v>
      </c>
      <c r="Y12" t="s">
        <v>1</v>
      </c>
      <c r="AC12" t="str">
        <f t="shared" si="6"/>
        <v xml:space="preserve"> 0xEC,</v>
      </c>
      <c r="AD12" t="str">
        <f t="shared" si="7"/>
        <v>236,</v>
      </c>
      <c r="AE12" t="str">
        <f t="shared" si="8"/>
        <v>11101100</v>
      </c>
      <c r="AF12">
        <v>1</v>
      </c>
      <c r="AG12">
        <v>1</v>
      </c>
      <c r="AH12">
        <v>1</v>
      </c>
      <c r="AI12">
        <v>0</v>
      </c>
      <c r="AJ12">
        <v>1</v>
      </c>
      <c r="AK12">
        <v>1</v>
      </c>
      <c r="AL12">
        <v>0</v>
      </c>
      <c r="AM12">
        <v>0</v>
      </c>
      <c r="AN12">
        <v>1</v>
      </c>
      <c r="AO12">
        <v>1</v>
      </c>
      <c r="AP12">
        <v>1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11100000</v>
      </c>
      <c r="AW12" t="str">
        <f t="shared" si="10"/>
        <v>224,</v>
      </c>
      <c r="AX12" t="str">
        <f t="shared" si="11"/>
        <v xml:space="preserve"> 0xE0,</v>
      </c>
      <c r="AY12" t="s">
        <v>0</v>
      </c>
      <c r="AZ12" t="s">
        <v>1</v>
      </c>
      <c r="BD12" t="str">
        <f t="shared" si="12"/>
        <v xml:space="preserve"> 0xE0,</v>
      </c>
      <c r="BE12" t="str">
        <f t="shared" si="13"/>
        <v>224,</v>
      </c>
      <c r="BF12" t="str">
        <f t="shared" si="14"/>
        <v>11100000</v>
      </c>
      <c r="BG12">
        <v>1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1</v>
      </c>
      <c r="BQ12">
        <v>1</v>
      </c>
      <c r="BR12">
        <v>1</v>
      </c>
      <c r="BS12">
        <v>0</v>
      </c>
      <c r="BT12">
        <v>0</v>
      </c>
      <c r="BU12">
        <v>0</v>
      </c>
      <c r="BV12">
        <v>0</v>
      </c>
      <c r="BW12" t="str">
        <f t="shared" si="15"/>
        <v>01110000</v>
      </c>
      <c r="BX12" t="str">
        <f t="shared" si="16"/>
        <v>112,</v>
      </c>
      <c r="BY12" t="str">
        <f t="shared" si="17"/>
        <v xml:space="preserve"> 0x70,</v>
      </c>
      <c r="BZ12" t="s">
        <v>0</v>
      </c>
      <c r="CA12" t="s">
        <v>1</v>
      </c>
    </row>
    <row r="13" spans="1:80">
      <c r="B13" t="str">
        <f t="shared" si="0"/>
        <v xml:space="preserve"> 0xEE,</v>
      </c>
      <c r="C13" t="str">
        <f t="shared" si="1"/>
        <v>238,</v>
      </c>
      <c r="D13" t="str">
        <f t="shared" si="2"/>
        <v>11101110</v>
      </c>
      <c r="E13">
        <v>1</v>
      </c>
      <c r="F13">
        <v>1</v>
      </c>
      <c r="G13">
        <v>1</v>
      </c>
      <c r="H13">
        <v>0</v>
      </c>
      <c r="I13">
        <v>1</v>
      </c>
      <c r="J13">
        <v>1</v>
      </c>
      <c r="K13">
        <v>1</v>
      </c>
      <c r="L13">
        <v>0</v>
      </c>
      <c r="M13">
        <v>1</v>
      </c>
      <c r="N13">
        <v>1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11100000</v>
      </c>
      <c r="V13" t="str">
        <f t="shared" si="4"/>
        <v>224,</v>
      </c>
      <c r="W13" t="str">
        <f t="shared" si="5"/>
        <v xml:space="preserve"> 0xE0,</v>
      </c>
      <c r="X13" t="s">
        <v>0</v>
      </c>
      <c r="Y13" t="s">
        <v>1</v>
      </c>
      <c r="AC13" t="str">
        <f t="shared" si="6"/>
        <v xml:space="preserve"> 0xE6,</v>
      </c>
      <c r="AD13" t="str">
        <f t="shared" si="7"/>
        <v>230,</v>
      </c>
      <c r="AE13" t="str">
        <f t="shared" si="8"/>
        <v>11100110</v>
      </c>
      <c r="AF13">
        <v>1</v>
      </c>
      <c r="AG13">
        <v>1</v>
      </c>
      <c r="AH13">
        <v>1</v>
      </c>
      <c r="AI13">
        <v>0</v>
      </c>
      <c r="AJ13">
        <v>0</v>
      </c>
      <c r="AK13">
        <v>1</v>
      </c>
      <c r="AL13">
        <v>1</v>
      </c>
      <c r="AM13">
        <v>0</v>
      </c>
      <c r="AN13">
        <v>1</v>
      </c>
      <c r="AO13">
        <v>1</v>
      </c>
      <c r="AP13">
        <v>1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11100000</v>
      </c>
      <c r="AW13" t="str">
        <f t="shared" si="10"/>
        <v>224,</v>
      </c>
      <c r="AX13" t="str">
        <f t="shared" si="11"/>
        <v xml:space="preserve"> 0xE0,</v>
      </c>
      <c r="AY13" t="s">
        <v>0</v>
      </c>
      <c r="AZ13" t="s">
        <v>1</v>
      </c>
      <c r="BD13" t="str">
        <f t="shared" si="12"/>
        <v xml:space="preserve"> 0xE0,</v>
      </c>
      <c r="BE13" t="str">
        <f t="shared" si="13"/>
        <v>224,</v>
      </c>
      <c r="BF13" t="str">
        <f t="shared" si="14"/>
        <v>11100000</v>
      </c>
      <c r="BG13">
        <v>1</v>
      </c>
      <c r="BH13">
        <v>1</v>
      </c>
      <c r="BI13">
        <v>1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1</v>
      </c>
      <c r="BQ13">
        <v>1</v>
      </c>
      <c r="BR13">
        <v>1</v>
      </c>
      <c r="BS13">
        <v>0</v>
      </c>
      <c r="BT13">
        <v>0</v>
      </c>
      <c r="BU13">
        <v>0</v>
      </c>
      <c r="BV13">
        <v>0</v>
      </c>
      <c r="BW13" t="str">
        <f t="shared" si="15"/>
        <v>01110000</v>
      </c>
      <c r="BX13" t="str">
        <f t="shared" si="16"/>
        <v>112,</v>
      </c>
      <c r="BY13" t="str">
        <f t="shared" si="17"/>
        <v xml:space="preserve"> 0x70,</v>
      </c>
      <c r="BZ13" t="s">
        <v>0</v>
      </c>
      <c r="CA13" t="s">
        <v>1</v>
      </c>
    </row>
    <row r="14" spans="1:80">
      <c r="B14" t="str">
        <f t="shared" si="0"/>
        <v xml:space="preserve"> 0xE4,</v>
      </c>
      <c r="C14" t="str">
        <f t="shared" si="1"/>
        <v>228,</v>
      </c>
      <c r="D14" t="str">
        <f t="shared" si="2"/>
        <v>11100100</v>
      </c>
      <c r="E14">
        <v>1</v>
      </c>
      <c r="F14">
        <v>1</v>
      </c>
      <c r="G14">
        <v>1</v>
      </c>
      <c r="H14">
        <v>0</v>
      </c>
      <c r="I14">
        <v>0</v>
      </c>
      <c r="J14">
        <v>1</v>
      </c>
      <c r="K14">
        <v>0</v>
      </c>
      <c r="L14">
        <v>0</v>
      </c>
      <c r="M14">
        <v>1</v>
      </c>
      <c r="N14">
        <v>1</v>
      </c>
      <c r="O14">
        <v>1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11100000</v>
      </c>
      <c r="V14" t="str">
        <f t="shared" si="4"/>
        <v>224,</v>
      </c>
      <c r="W14" t="str">
        <f t="shared" si="5"/>
        <v xml:space="preserve"> 0xE0,</v>
      </c>
      <c r="X14" t="s">
        <v>0</v>
      </c>
      <c r="Y14" t="s">
        <v>1</v>
      </c>
      <c r="AC14" t="str">
        <f t="shared" si="6"/>
        <v xml:space="preserve"> 0xE6,</v>
      </c>
      <c r="AD14" t="str">
        <f t="shared" si="7"/>
        <v>230,</v>
      </c>
      <c r="AE14" t="str">
        <f t="shared" si="8"/>
        <v>11100110</v>
      </c>
      <c r="AF14">
        <v>1</v>
      </c>
      <c r="AG14">
        <v>1</v>
      </c>
      <c r="AH14">
        <v>1</v>
      </c>
      <c r="AI14">
        <v>0</v>
      </c>
      <c r="AJ14">
        <v>0</v>
      </c>
      <c r="AK14">
        <v>1</v>
      </c>
      <c r="AL14">
        <v>1</v>
      </c>
      <c r="AM14">
        <v>0</v>
      </c>
      <c r="AN14">
        <v>1</v>
      </c>
      <c r="AO14">
        <v>1</v>
      </c>
      <c r="AP14">
        <v>1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11100000</v>
      </c>
      <c r="AW14" t="str">
        <f t="shared" si="10"/>
        <v>224,</v>
      </c>
      <c r="AX14" t="str">
        <f t="shared" si="11"/>
        <v xml:space="preserve"> 0xE0,</v>
      </c>
      <c r="AY14" t="s">
        <v>0</v>
      </c>
      <c r="AZ14" t="s">
        <v>1</v>
      </c>
      <c r="BD14" t="str">
        <f t="shared" si="12"/>
        <v xml:space="preserve"> 0xE0,</v>
      </c>
      <c r="BE14" t="str">
        <f t="shared" si="13"/>
        <v>224,</v>
      </c>
      <c r="BF14" t="str">
        <f t="shared" si="14"/>
        <v>11100000</v>
      </c>
      <c r="BG14">
        <v>1</v>
      </c>
      <c r="BH14">
        <v>1</v>
      </c>
      <c r="BI14">
        <v>1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1</v>
      </c>
      <c r="BQ14">
        <v>1</v>
      </c>
      <c r="BR14">
        <v>1</v>
      </c>
      <c r="BS14">
        <v>0</v>
      </c>
      <c r="BT14">
        <v>0</v>
      </c>
      <c r="BU14">
        <v>0</v>
      </c>
      <c r="BV14">
        <v>0</v>
      </c>
      <c r="BW14" t="str">
        <f t="shared" si="15"/>
        <v>01110000</v>
      </c>
      <c r="BX14" t="str">
        <f t="shared" si="16"/>
        <v>112,</v>
      </c>
      <c r="BY14" t="str">
        <f t="shared" si="17"/>
        <v xml:space="preserve"> 0x70,</v>
      </c>
      <c r="BZ14" t="s">
        <v>0</v>
      </c>
      <c r="CA14" t="s">
        <v>1</v>
      </c>
    </row>
    <row r="15" spans="1:80">
      <c r="B15" t="str">
        <f t="shared" si="0"/>
        <v xml:space="preserve"> 0xE0,</v>
      </c>
      <c r="C15" t="str">
        <f t="shared" si="1"/>
        <v>224,</v>
      </c>
      <c r="D15" t="str">
        <f t="shared" si="2"/>
        <v>11100000</v>
      </c>
      <c r="E15">
        <v>1</v>
      </c>
      <c r="F15">
        <v>1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1</v>
      </c>
      <c r="N15">
        <v>1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11100000</v>
      </c>
      <c r="V15" t="str">
        <f t="shared" si="4"/>
        <v>224,</v>
      </c>
      <c r="W15" t="str">
        <f t="shared" si="5"/>
        <v xml:space="preserve"> 0xE0,</v>
      </c>
      <c r="X15" t="s">
        <v>0</v>
      </c>
      <c r="Y15" t="s">
        <v>1</v>
      </c>
      <c r="AC15" t="str">
        <f t="shared" si="6"/>
        <v xml:space="preserve"> 0xE3,</v>
      </c>
      <c r="AD15" t="str">
        <f t="shared" si="7"/>
        <v>227,</v>
      </c>
      <c r="AE15" t="str">
        <f t="shared" si="8"/>
        <v>11100011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0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11100000</v>
      </c>
      <c r="AW15" t="str">
        <f t="shared" si="10"/>
        <v>224,</v>
      </c>
      <c r="AX15" t="str">
        <f t="shared" si="11"/>
        <v xml:space="preserve"> 0xE0,</v>
      </c>
      <c r="AY15" t="s">
        <v>0</v>
      </c>
      <c r="AZ15" t="s">
        <v>1</v>
      </c>
      <c r="BD15" t="str">
        <f t="shared" si="12"/>
        <v xml:space="preserve"> 0xE0,</v>
      </c>
      <c r="BE15" t="str">
        <f t="shared" si="13"/>
        <v>224,</v>
      </c>
      <c r="BF15" t="str">
        <f t="shared" si="14"/>
        <v>11100000</v>
      </c>
      <c r="BG15">
        <v>1</v>
      </c>
      <c r="BH15">
        <v>1</v>
      </c>
      <c r="BI15">
        <v>1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1</v>
      </c>
      <c r="BQ15">
        <v>1</v>
      </c>
      <c r="BR15">
        <v>1</v>
      </c>
      <c r="BS15">
        <v>0</v>
      </c>
      <c r="BT15">
        <v>0</v>
      </c>
      <c r="BU15">
        <v>0</v>
      </c>
      <c r="BV15">
        <v>0</v>
      </c>
      <c r="BW15" t="str">
        <f t="shared" si="15"/>
        <v>01110000</v>
      </c>
      <c r="BX15" t="str">
        <f t="shared" si="16"/>
        <v>112,</v>
      </c>
      <c r="BY15" t="str">
        <f t="shared" si="17"/>
        <v xml:space="preserve"> 0x70,</v>
      </c>
      <c r="BZ15" t="s">
        <v>0</v>
      </c>
      <c r="CA15" t="s">
        <v>1</v>
      </c>
    </row>
    <row r="16" spans="1:80">
      <c r="B16" t="str">
        <f t="shared" si="0"/>
        <v xml:space="preserve"> 0xE0,</v>
      </c>
      <c r="C16" t="str">
        <f t="shared" si="1"/>
        <v>224,</v>
      </c>
      <c r="D16" t="str">
        <f t="shared" si="2"/>
        <v>11100000</v>
      </c>
      <c r="E16">
        <v>1</v>
      </c>
      <c r="F16">
        <v>1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11100000</v>
      </c>
      <c r="V16" t="str">
        <f t="shared" si="4"/>
        <v>224,</v>
      </c>
      <c r="W16" t="str">
        <f t="shared" si="5"/>
        <v xml:space="preserve"> 0xE0,</v>
      </c>
      <c r="X16" t="s">
        <v>0</v>
      </c>
      <c r="Y16" t="s">
        <v>1</v>
      </c>
      <c r="AC16" t="str">
        <f t="shared" si="6"/>
        <v xml:space="preserve"> 0xE3,</v>
      </c>
      <c r="AD16" t="str">
        <f t="shared" si="7"/>
        <v>227,</v>
      </c>
      <c r="AE16" t="str">
        <f t="shared" si="8"/>
        <v>11100011</v>
      </c>
      <c r="AF16">
        <v>1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11100000</v>
      </c>
      <c r="AW16" t="str">
        <f t="shared" si="10"/>
        <v>224,</v>
      </c>
      <c r="AX16" t="str">
        <f t="shared" si="11"/>
        <v xml:space="preserve"> 0xE0,</v>
      </c>
      <c r="AY16" t="s">
        <v>0</v>
      </c>
      <c r="AZ16" t="s">
        <v>1</v>
      </c>
      <c r="BD16" t="str">
        <f t="shared" si="12"/>
        <v xml:space="preserve"> 0xE0,</v>
      </c>
      <c r="BE16" t="str">
        <f t="shared" si="13"/>
        <v>224,</v>
      </c>
      <c r="BF16" t="str">
        <f t="shared" si="14"/>
        <v>11100000</v>
      </c>
      <c r="BG16">
        <v>1</v>
      </c>
      <c r="BH16">
        <v>1</v>
      </c>
      <c r="BI16">
        <v>1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1</v>
      </c>
      <c r="BQ16">
        <v>1</v>
      </c>
      <c r="BR16">
        <v>1</v>
      </c>
      <c r="BS16">
        <v>0</v>
      </c>
      <c r="BT16">
        <v>0</v>
      </c>
      <c r="BU16">
        <v>0</v>
      </c>
      <c r="BV16">
        <v>0</v>
      </c>
      <c r="BW16" t="str">
        <f t="shared" si="15"/>
        <v>01110000</v>
      </c>
      <c r="BX16" t="str">
        <f t="shared" si="16"/>
        <v>112,</v>
      </c>
      <c r="BY16" t="str">
        <f t="shared" si="17"/>
        <v xml:space="preserve"> 0x70,</v>
      </c>
      <c r="BZ16" t="s">
        <v>0</v>
      </c>
      <c r="CA16" t="s">
        <v>1</v>
      </c>
    </row>
    <row r="17" spans="1:79">
      <c r="B17" t="str">
        <f t="shared" si="0"/>
        <v xml:space="preserve"> 0xE0,</v>
      </c>
      <c r="C17" t="str">
        <f t="shared" si="1"/>
        <v>224,</v>
      </c>
      <c r="D17" t="str">
        <f t="shared" si="2"/>
        <v>11100000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1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11100000</v>
      </c>
      <c r="V17" t="str">
        <f t="shared" si="4"/>
        <v>224,</v>
      </c>
      <c r="W17" t="str">
        <f t="shared" si="5"/>
        <v xml:space="preserve"> 0xE0,</v>
      </c>
      <c r="X17" t="s">
        <v>0</v>
      </c>
      <c r="Y17" t="s">
        <v>1</v>
      </c>
      <c r="AC17" t="str">
        <f t="shared" si="6"/>
        <v xml:space="preserve"> 0xE1,</v>
      </c>
      <c r="AD17" t="str">
        <f t="shared" si="7"/>
        <v>225,</v>
      </c>
      <c r="AE17" t="str">
        <f t="shared" si="8"/>
        <v>11100001</v>
      </c>
      <c r="AF17">
        <v>1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1</v>
      </c>
      <c r="AN17">
        <v>1</v>
      </c>
      <c r="AO17">
        <v>1</v>
      </c>
      <c r="AP17">
        <v>1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11100000</v>
      </c>
      <c r="AW17" t="str">
        <f t="shared" si="10"/>
        <v>224,</v>
      </c>
      <c r="AX17" t="str">
        <f t="shared" si="11"/>
        <v xml:space="preserve"> 0xE0,</v>
      </c>
      <c r="AY17" t="s">
        <v>0</v>
      </c>
      <c r="AZ17" t="s">
        <v>1</v>
      </c>
      <c r="BD17" t="str">
        <f t="shared" si="12"/>
        <v xml:space="preserve"> 0xE0,</v>
      </c>
      <c r="BE17" t="str">
        <f t="shared" si="13"/>
        <v>224,</v>
      </c>
      <c r="BF17" t="str">
        <f t="shared" si="14"/>
        <v>11100000</v>
      </c>
      <c r="BG17">
        <v>1</v>
      </c>
      <c r="BH17">
        <v>1</v>
      </c>
      <c r="BI17">
        <v>1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1</v>
      </c>
      <c r="BQ17">
        <v>1</v>
      </c>
      <c r="BR17">
        <v>1</v>
      </c>
      <c r="BS17">
        <v>0</v>
      </c>
      <c r="BT17">
        <v>0</v>
      </c>
      <c r="BU17">
        <v>0</v>
      </c>
      <c r="BV17">
        <v>0</v>
      </c>
      <c r="BW17" t="str">
        <f t="shared" si="15"/>
        <v>01110000</v>
      </c>
      <c r="BX17" t="str">
        <f t="shared" si="16"/>
        <v>112,</v>
      </c>
      <c r="BY17" t="str">
        <f t="shared" si="17"/>
        <v xml:space="preserve"> 0x70,</v>
      </c>
      <c r="BZ17" t="s">
        <v>0</v>
      </c>
      <c r="CA17" t="s">
        <v>1</v>
      </c>
    </row>
    <row r="18" spans="1:79">
      <c r="B18" t="str">
        <f t="shared" si="0"/>
        <v xml:space="preserve"> 0xE0,</v>
      </c>
      <c r="C18" t="str">
        <f t="shared" si="1"/>
        <v>224,</v>
      </c>
      <c r="D18" t="str">
        <f t="shared" si="2"/>
        <v>11100000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1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11100000</v>
      </c>
      <c r="V18" t="str">
        <f t="shared" si="4"/>
        <v>224,</v>
      </c>
      <c r="W18" t="str">
        <f t="shared" si="5"/>
        <v xml:space="preserve"> 0xE0,</v>
      </c>
      <c r="X18" t="s">
        <v>0</v>
      </c>
      <c r="Y18" t="s">
        <v>1</v>
      </c>
      <c r="AC18" t="str">
        <f t="shared" si="6"/>
        <v xml:space="preserve"> 0xE1,</v>
      </c>
      <c r="AD18" t="str">
        <f t="shared" si="7"/>
        <v>225,</v>
      </c>
      <c r="AE18" t="str">
        <f t="shared" si="8"/>
        <v>11100001</v>
      </c>
      <c r="AF18">
        <v>1</v>
      </c>
      <c r="AG18">
        <v>1</v>
      </c>
      <c r="AH18">
        <v>1</v>
      </c>
      <c r="AI18">
        <v>0</v>
      </c>
      <c r="AJ18">
        <v>0</v>
      </c>
      <c r="AK18">
        <v>0</v>
      </c>
      <c r="AL18">
        <v>0</v>
      </c>
      <c r="AM18">
        <v>1</v>
      </c>
      <c r="AN18">
        <v>1</v>
      </c>
      <c r="AO18">
        <v>1</v>
      </c>
      <c r="AP18">
        <v>1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11100000</v>
      </c>
      <c r="AW18" t="str">
        <f t="shared" si="10"/>
        <v>224,</v>
      </c>
      <c r="AX18" t="str">
        <f t="shared" si="11"/>
        <v xml:space="preserve"> 0xE0,</v>
      </c>
      <c r="AY18" t="s">
        <v>0</v>
      </c>
      <c r="AZ18" t="s">
        <v>1</v>
      </c>
      <c r="BD18" t="str">
        <f t="shared" si="12"/>
        <v xml:space="preserve"> 0xF0,</v>
      </c>
      <c r="BE18" t="str">
        <f t="shared" si="13"/>
        <v>240,</v>
      </c>
      <c r="BF18" t="str">
        <f t="shared" si="14"/>
        <v>11110000</v>
      </c>
      <c r="BG18">
        <v>1</v>
      </c>
      <c r="BH18">
        <v>1</v>
      </c>
      <c r="BI18">
        <v>1</v>
      </c>
      <c r="BJ18">
        <v>1</v>
      </c>
      <c r="BK18">
        <v>0</v>
      </c>
      <c r="BL18">
        <v>0</v>
      </c>
      <c r="BM18">
        <v>0</v>
      </c>
      <c r="BN18">
        <v>0</v>
      </c>
      <c r="BO18">
        <v>1</v>
      </c>
      <c r="BP18">
        <v>1</v>
      </c>
      <c r="BQ18">
        <v>1</v>
      </c>
      <c r="BR18">
        <v>1</v>
      </c>
      <c r="BS18">
        <v>0</v>
      </c>
      <c r="BT18">
        <v>0</v>
      </c>
      <c r="BU18">
        <v>0</v>
      </c>
      <c r="BV18">
        <v>0</v>
      </c>
      <c r="BW18" t="str">
        <f t="shared" si="15"/>
        <v>11110000</v>
      </c>
      <c r="BX18" t="str">
        <f t="shared" si="16"/>
        <v>240,</v>
      </c>
      <c r="BY18" t="str">
        <f t="shared" si="17"/>
        <v xml:space="preserve"> 0xF0,</v>
      </c>
      <c r="BZ18" t="s">
        <v>0</v>
      </c>
      <c r="CA18" t="s">
        <v>1</v>
      </c>
    </row>
    <row r="19" spans="1:79">
      <c r="B19" t="str">
        <f t="shared" si="0"/>
        <v xml:space="preserve"> 0xE0,</v>
      </c>
      <c r="C19" t="str">
        <f t="shared" si="1"/>
        <v>224,</v>
      </c>
      <c r="D19" t="str">
        <f t="shared" si="2"/>
        <v>11100000</v>
      </c>
      <c r="E19">
        <v>1</v>
      </c>
      <c r="F19">
        <v>1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1</v>
      </c>
      <c r="N19">
        <v>1</v>
      </c>
      <c r="O19">
        <v>1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11100000</v>
      </c>
      <c r="V19" t="str">
        <f t="shared" si="4"/>
        <v>224,</v>
      </c>
      <c r="W19" t="str">
        <f t="shared" si="5"/>
        <v xml:space="preserve"> 0xE0,</v>
      </c>
      <c r="X19" t="s">
        <v>0</v>
      </c>
      <c r="Y19" t="s">
        <v>1</v>
      </c>
      <c r="AC19" t="str">
        <f t="shared" si="6"/>
        <v xml:space="preserve"> 0xE0,</v>
      </c>
      <c r="AD19" t="str">
        <f t="shared" si="7"/>
        <v>224,</v>
      </c>
      <c r="AE19" t="str">
        <f t="shared" si="8"/>
        <v>11100000</v>
      </c>
      <c r="AF19">
        <v>1</v>
      </c>
      <c r="AG19">
        <v>1</v>
      </c>
      <c r="AH19">
        <v>1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1</v>
      </c>
      <c r="AO19">
        <v>1</v>
      </c>
      <c r="AP19">
        <v>1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11100000</v>
      </c>
      <c r="AW19" t="str">
        <f t="shared" si="10"/>
        <v>224,</v>
      </c>
      <c r="AX19" t="str">
        <f t="shared" si="11"/>
        <v xml:space="preserve"> 0xE0,</v>
      </c>
      <c r="AY19" t="s">
        <v>0</v>
      </c>
      <c r="AZ19" t="s">
        <v>1</v>
      </c>
      <c r="BD19" t="str">
        <f t="shared" si="12"/>
        <v xml:space="preserve"> 0x7F,</v>
      </c>
      <c r="BE19" t="str">
        <f t="shared" si="13"/>
        <v>127,</v>
      </c>
      <c r="BF19" t="str">
        <f t="shared" si="14"/>
        <v>01111111</v>
      </c>
      <c r="BG19">
        <v>0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11100000</v>
      </c>
      <c r="BX19" t="str">
        <f t="shared" si="16"/>
        <v>224,</v>
      </c>
      <c r="BY19" t="str">
        <f t="shared" si="17"/>
        <v xml:space="preserve"> 0xE0,</v>
      </c>
      <c r="BZ19" t="s">
        <v>0</v>
      </c>
      <c r="CA19" t="s">
        <v>1</v>
      </c>
    </row>
    <row r="20" spans="1:79">
      <c r="B20" t="str">
        <f t="shared" si="0"/>
        <v xml:space="preserve"> 0xE0,</v>
      </c>
      <c r="C20" t="str">
        <f t="shared" si="1"/>
        <v>224,</v>
      </c>
      <c r="D20" t="str">
        <f t="shared" si="2"/>
        <v>11100000</v>
      </c>
      <c r="E20">
        <v>1</v>
      </c>
      <c r="F20">
        <v>1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1</v>
      </c>
      <c r="N20">
        <v>1</v>
      </c>
      <c r="O20">
        <v>1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11100000</v>
      </c>
      <c r="V20" t="str">
        <f t="shared" si="4"/>
        <v>224,</v>
      </c>
      <c r="W20" t="str">
        <f t="shared" si="5"/>
        <v xml:space="preserve"> 0xE0,</v>
      </c>
      <c r="X20" t="s">
        <v>0</v>
      </c>
      <c r="Y20" t="s">
        <v>1</v>
      </c>
      <c r="AC20" t="str">
        <f t="shared" si="6"/>
        <v xml:space="preserve"> 0xE0,</v>
      </c>
      <c r="AD20" t="str">
        <f t="shared" si="7"/>
        <v>224,</v>
      </c>
      <c r="AE20" t="str">
        <f t="shared" si="8"/>
        <v>11100000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1</v>
      </c>
      <c r="AO20">
        <v>1</v>
      </c>
      <c r="AP20">
        <v>1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11100000</v>
      </c>
      <c r="AW20" t="str">
        <f t="shared" si="10"/>
        <v>224,</v>
      </c>
      <c r="AX20" t="str">
        <f t="shared" si="11"/>
        <v xml:space="preserve"> 0xE0,</v>
      </c>
      <c r="AY20" t="s">
        <v>0</v>
      </c>
      <c r="AZ20" t="s">
        <v>1</v>
      </c>
      <c r="BD20" t="str">
        <f t="shared" si="12"/>
        <v xml:space="preserve"> 0x3F,</v>
      </c>
      <c r="BE20" t="str">
        <f t="shared" si="13"/>
        <v>63,</v>
      </c>
      <c r="BF20" t="str">
        <f t="shared" si="14"/>
        <v>00111111</v>
      </c>
      <c r="BG20">
        <v>0</v>
      </c>
      <c r="BH20">
        <v>0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11000000</v>
      </c>
      <c r="BX20" t="str">
        <f t="shared" si="16"/>
        <v>192,</v>
      </c>
      <c r="BY20" t="str">
        <f t="shared" si="17"/>
        <v xml:space="preserve"> 0xC0,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11,</v>
      </c>
      <c r="V22" t="str">
        <f>Y20&amp;DEC2HEX(U22,2)&amp;X20</f>
        <v xml:space="preserve"> 0x0B,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11,</v>
      </c>
      <c r="AW22" t="str">
        <f>AZ20&amp;DEC2HEX(AV22,2)&amp;AY20</f>
        <v xml:space="preserve"> 0x0B,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1</v>
      </c>
      <c r="BR22">
        <f t="shared" si="20"/>
        <v>1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12,</v>
      </c>
      <c r="BX22" t="str">
        <f>CA20&amp;DEC2HEX(BW22,2)&amp;BZ20</f>
        <v xml:space="preserve"> 0x0C,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11,224,224,224,224,241,224,241,224,251,224,255,224,255,224,238,224,238,224,228,224,224,224,224,224,224,224,224,224,224,224,224,224,//M//77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11,224,224,224,224,240,224,240,224,248,224,248,224,236,224,236,224,230,224,230,224,227,224,227,224,225,224,225,224,224,224,224,224,//N//78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12,63,192,127,224,240,240,224,112,224,112,224,112,224,112,224,112,224,112,224,112,224,112,224,112,224,112,240,240,127,224,63,192,//O//79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0x0B, 0xE0, 0xE0, 0xE0, 0xE0, 0xF1, 0xE0, 0xF1, 0xE0, 0xFB, 0xE0, 0xFF, 0xE0, 0xFF, 0xE0, 0xEE, 0xE0, 0xEE, 0xE0, 0xE4, 0xE0, 0xE0, 0xE0, 0xE0, 0xE0, 0xE0, 0xE0, 0xE0, 0xE0, 0xE0, 0xE0, 0xE0, 0xE0,//M//77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0x0B, 0xE0, 0xE0, 0xE0, 0xE0, 0xF0, 0xE0, 0xF0, 0xE0, 0xF8, 0xE0, 0xF8, 0xE0, 0xEC, 0xE0, 0xEC, 0xE0, 0xE6, 0xE0, 0xE6, 0xE0, 0xE3, 0xE0, 0xE3, 0xE0, 0xE1, 0xE0, 0xE1, 0xE0, 0xE0, 0xE0, 0xE0, 0xE0,//N//78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0x0C, 0x3F, 0xC0, 0x7F, 0xE0, 0xF0, 0xF0, 0xE0, 0x70, 0xE0, 0x70, 0xE0, 0x70, 0xE0, 0x70, 0xE0, 0x70, 0xE0, 0x70, 0xE0, 0x70, 0xE0, 0x70, 0xE0, 0x70, 0xE0, 0x70, 0xF0, 0xF0, 0x7F, 0xE0, 0x3F, 0xC0,//O//79</v>
      </c>
    </row>
    <row r="28" spans="1:79">
      <c r="A28" s="1" t="str">
        <f>$B$24</f>
        <v>11,224,224,224,224,241,224,241,224,251,224,255,224,255,224,238,224,238,224,228,224,224,224,224,224,224,224,224,224,224,224,224,224,//M//77</v>
      </c>
      <c r="E28" t="s">
        <v>4</v>
      </c>
      <c r="AB28" s="1" t="str">
        <f>$AC$24</f>
        <v>11,224,224,224,224,240,224,240,224,248,224,248,224,236,224,236,224,230,224,230,224,227,224,227,224,225,224,225,224,224,224,224,224,//N//78</v>
      </c>
      <c r="AF28" t="s">
        <v>4</v>
      </c>
      <c r="BC28" s="1" t="str">
        <f>$BD$24</f>
        <v>12,63,192,127,224,240,240,224,112,224,112,224,112,224,112,224,112,224,112,224,112,224,112,224,112,224,112,240,240,127,224,63,192,//O//79</v>
      </c>
      <c r="BG28" t="s">
        <v>4</v>
      </c>
    </row>
    <row r="29" spans="1:79">
      <c r="A29" s="2" t="str">
        <f>$B$25</f>
        <v xml:space="preserve"> 0x0B, 0xE0, 0xE0, 0xE0, 0xE0, 0xF1, 0xE0, 0xF1, 0xE0, 0xFB, 0xE0, 0xFF, 0xE0, 0xFF, 0xE0, 0xEE, 0xE0, 0xEE, 0xE0, 0xE4, 0xE0, 0xE0, 0xE0, 0xE0, 0xE0, 0xE0, 0xE0, 0xE0, 0xE0, 0xE0, 0xE0, 0xE0, 0xE0,//M//77</v>
      </c>
      <c r="E29" t="s">
        <v>3</v>
      </c>
      <c r="AB29" s="2" t="str">
        <f>$AC$25</f>
        <v xml:space="preserve"> 0x0B, 0xE0, 0xE0, 0xE0, 0xE0, 0xF0, 0xE0, 0xF0, 0xE0, 0xF8, 0xE0, 0xF8, 0xE0, 0xEC, 0xE0, 0xEC, 0xE0, 0xE6, 0xE0, 0xE6, 0xE0, 0xE3, 0xE0, 0xE3, 0xE0, 0xE1, 0xE0, 0xE1, 0xE0, 0xE0, 0xE0, 0xE0, 0xE0,//N//78</v>
      </c>
      <c r="AF29" t="s">
        <v>3</v>
      </c>
      <c r="BC29" s="2" t="str">
        <f>$BD$25</f>
        <v xml:space="preserve"> 0x0C, 0x3F, 0xC0, 0x7F, 0xE0, 0xF0, 0xF0, 0xE0, 0x70, 0xE0, 0x70, 0xE0, 0x70, 0xE0, 0x70, 0xE0, 0x70, 0xE0, 0x70, 0xE0, 0x70, 0xE0, 0x70, 0xE0, 0x70, 0xE0, 0x70, 0xF0, 0xF0, 0x7F, 0xE0, 0x3F, 0xC0,//O//79</v>
      </c>
      <c r="BG29" t="s">
        <v>3</v>
      </c>
    </row>
  </sheetData>
  <conditionalFormatting sqref="E5:T20">
    <cfRule type="colorScale" priority="1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1">
      <colorScale>
        <cfvo type="num" val="0"/>
        <cfvo type="num" val="1"/>
        <color theme="0" tint="-0.14999847407452621"/>
        <color rgb="FFFF0000"/>
      </colorScale>
    </cfRule>
  </conditionalFormatting>
  <conditionalFormatting sqref="AH6:AO7 AH18:AO19 AF5:AO5 AH13:AL13 AH20:AI20 AF6:AG20 AH8:AN12 AH14:AK17 AO8:AO17 AM13:AM16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O13:AP18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45" priority="6" operator="greaterThan">
      <formula>1</formula>
    </cfRule>
  </conditionalFormatting>
  <conditionalFormatting sqref="BI6:BP7 BI18:BP19 BI8:BI17 BJ8:BN12 BG5:BP5 BN13:BN17 BJ13:BM15 BG6:BH20 BO8:BP17 BO20:BP20 BM16:BM17 BM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44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8"/>
  <dimension ref="A4:CB29"/>
  <sheetViews>
    <sheetView workbookViewId="0">
      <selection activeCell="K31" sqref="K31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80</v>
      </c>
      <c r="Z4" t="s">
        <v>5</v>
      </c>
      <c r="AB4" s="3">
        <v>81</v>
      </c>
      <c r="BA4" t="s">
        <v>5</v>
      </c>
      <c r="BC4" s="3">
        <v>82</v>
      </c>
      <c r="CB4" t="s">
        <v>5</v>
      </c>
    </row>
    <row r="5" spans="1:80">
      <c r="A5" s="3" t="s">
        <v>249</v>
      </c>
      <c r="B5" t="str">
        <f>Z5&amp;Y5&amp;BIN2HEX(D5,2)&amp;X5</f>
        <v xml:space="preserve"> 0xFF,</v>
      </c>
      <c r="C5" t="str">
        <f>Z5&amp;BIN2DEC(D5)&amp;X5</f>
        <v>255,</v>
      </c>
      <c r="D5" t="str">
        <f>E5&amp;F5&amp;G5&amp;H5&amp;I5&amp;J5&amp;K5&amp;L5</f>
        <v>11111111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11000000</v>
      </c>
      <c r="V5" t="str">
        <f>Z5&amp;BIN2DEC(U5)&amp;X5</f>
        <v>192,</v>
      </c>
      <c r="W5" t="str">
        <f>Z5&amp;Y5&amp;BIN2HEX(U5,2)&amp;X5</f>
        <v xml:space="preserve"> 0xC0,</v>
      </c>
      <c r="X5" t="s">
        <v>0</v>
      </c>
      <c r="Y5" t="s">
        <v>1</v>
      </c>
      <c r="AB5" s="3" t="s">
        <v>250</v>
      </c>
      <c r="AC5" t="str">
        <f>BA5&amp;AZ5&amp;BIN2HEX(AE5,2)&amp;AY5</f>
        <v xml:space="preserve"> 0x3F,</v>
      </c>
      <c r="AD5" t="str">
        <f>BA5&amp;BIN2DEC(AE5)&amp;AY5</f>
        <v>63,</v>
      </c>
      <c r="AE5" t="str">
        <f>AF5&amp;AG5&amp;AH5&amp;AI5&amp;AJ5&amp;AK5&amp;AL5&amp;AM5</f>
        <v>00111111</v>
      </c>
      <c r="AF5">
        <v>0</v>
      </c>
      <c r="AG5">
        <v>0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11000000</v>
      </c>
      <c r="AW5" t="str">
        <f>BA5&amp;BIN2DEC(AV5)&amp;AY5</f>
        <v>192,</v>
      </c>
      <c r="AX5" t="str">
        <f>BA5&amp;AZ5&amp;BIN2HEX(AV5,2)&amp;AY5</f>
        <v xml:space="preserve"> 0xC0,</v>
      </c>
      <c r="AY5" t="s">
        <v>0</v>
      </c>
      <c r="AZ5" t="s">
        <v>1</v>
      </c>
      <c r="BC5" s="3" t="s">
        <v>251</v>
      </c>
      <c r="BD5" t="str">
        <f>CB5&amp;CA5&amp;BIN2HEX(BF5,2)&amp;BZ5</f>
        <v xml:space="preserve"> 0xFF,</v>
      </c>
      <c r="BE5" t="str">
        <f>CB5&amp;BIN2DEC(BF5)&amp;BZ5</f>
        <v>255,</v>
      </c>
      <c r="BF5" t="str">
        <f>BG5&amp;BH5&amp;BI5&amp;BJ5&amp;BK5&amp;BL5&amp;BM5&amp;BN5</f>
        <v>11111111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11000000</v>
      </c>
      <c r="BX5" t="str">
        <f>CB5&amp;BIN2DEC(BW5)&amp;BZ5</f>
        <v>192,</v>
      </c>
      <c r="BY5" t="str">
        <f>CB5&amp;CA5&amp;BIN2HEX(BW5,2)&amp;BZ5</f>
        <v xml:space="preserve"> 0xC0,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0xFF,</v>
      </c>
      <c r="C6" t="str">
        <f t="shared" ref="C6:C20" si="1">Z6&amp;BIN2DEC(D6)&amp;X6</f>
        <v>255,</v>
      </c>
      <c r="D6" t="str">
        <f t="shared" ref="D6:D20" si="2">E6&amp;F6&amp;G6&amp;H6&amp;I6&amp;J6&amp;K6&amp;L6</f>
        <v>11111111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11100000</v>
      </c>
      <c r="V6" t="str">
        <f t="shared" ref="V6:V20" si="4">Z6&amp;BIN2DEC(U6)&amp;X6</f>
        <v>224,</v>
      </c>
      <c r="W6" t="str">
        <f t="shared" ref="W6:W20" si="5">Z6&amp;Y6&amp;BIN2HEX(U6,2)&amp;X6</f>
        <v xml:space="preserve"> 0xE0,</v>
      </c>
      <c r="X6" t="s">
        <v>0</v>
      </c>
      <c r="Y6" t="s">
        <v>1</v>
      </c>
      <c r="AC6" t="str">
        <f t="shared" ref="AC6:AC20" si="6">BA6&amp;AZ6&amp;BIN2HEX(AE6,2)&amp;AY6</f>
        <v xml:space="preserve"> 0x7F,</v>
      </c>
      <c r="AD6" t="str">
        <f t="shared" ref="AD6:AD20" si="7">BA6&amp;BIN2DEC(AE6)&amp;AY6</f>
        <v>127,</v>
      </c>
      <c r="AE6" t="str">
        <f t="shared" ref="AE6:AE20" si="8">AF6&amp;AG6&amp;AH6&amp;AI6&amp;AJ6&amp;AK6&amp;AL6&amp;AM6</f>
        <v>01111111</v>
      </c>
      <c r="AF6">
        <v>0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11100000</v>
      </c>
      <c r="AW6" t="str">
        <f t="shared" ref="AW6:AW20" si="10">BA6&amp;BIN2DEC(AV6)&amp;AY6</f>
        <v>224,</v>
      </c>
      <c r="AX6" t="str">
        <f t="shared" ref="AX6:AX20" si="11">BA6&amp;AZ6&amp;BIN2HEX(AV6,2)&amp;AY6</f>
        <v xml:space="preserve"> 0xE0,</v>
      </c>
      <c r="AY6" t="s">
        <v>0</v>
      </c>
      <c r="AZ6" t="s">
        <v>1</v>
      </c>
      <c r="BD6" t="str">
        <f t="shared" ref="BD6:BD20" si="12">CB6&amp;CA6&amp;BIN2HEX(BF6,2)&amp;BZ6</f>
        <v xml:space="preserve"> 0xFF,</v>
      </c>
      <c r="BE6" t="str">
        <f t="shared" ref="BE6:BE20" si="13">CB6&amp;BIN2DEC(BF6)&amp;BZ6</f>
        <v>255,</v>
      </c>
      <c r="BF6" t="str">
        <f t="shared" ref="BF6:BF20" si="14">BG6&amp;BH6&amp;BI6&amp;BJ6&amp;BK6&amp;BL6&amp;BM6&amp;BN6</f>
        <v>11111111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11100000</v>
      </c>
      <c r="BX6" t="str">
        <f t="shared" ref="BX6:BX20" si="16">CB6&amp;BIN2DEC(BW6)&amp;BZ6</f>
        <v>224,</v>
      </c>
      <c r="BY6" t="str">
        <f t="shared" ref="BY6:BY20" si="17">CB6&amp;CA6&amp;BIN2HEX(BW6,2)&amp;BZ6</f>
        <v xml:space="preserve"> 0xE0,</v>
      </c>
      <c r="BZ6" t="s">
        <v>0</v>
      </c>
      <c r="CA6" t="s">
        <v>1</v>
      </c>
    </row>
    <row r="7" spans="1:80">
      <c r="B7" t="str">
        <f t="shared" si="0"/>
        <v xml:space="preserve"> 0x70,</v>
      </c>
      <c r="C7" t="str">
        <f t="shared" si="1"/>
        <v>112,</v>
      </c>
      <c r="D7" t="str">
        <f t="shared" si="2"/>
        <v>01110000</v>
      </c>
      <c r="E7">
        <v>0</v>
      </c>
      <c r="F7">
        <v>1</v>
      </c>
      <c r="G7">
        <v>1</v>
      </c>
      <c r="H7">
        <v>1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0</v>
      </c>
      <c r="R7">
        <v>0</v>
      </c>
      <c r="S7">
        <v>0</v>
      </c>
      <c r="T7">
        <v>0</v>
      </c>
      <c r="U7" t="str">
        <f t="shared" si="3"/>
        <v>11110000</v>
      </c>
      <c r="V7" t="str">
        <f t="shared" si="4"/>
        <v>240,</v>
      </c>
      <c r="W7" t="str">
        <f t="shared" si="5"/>
        <v xml:space="preserve"> 0xF0,</v>
      </c>
      <c r="X7" t="s">
        <v>0</v>
      </c>
      <c r="Y7" t="s">
        <v>1</v>
      </c>
      <c r="AC7" t="str">
        <f t="shared" si="6"/>
        <v xml:space="preserve"> 0xF0,</v>
      </c>
      <c r="AD7" t="str">
        <f t="shared" si="7"/>
        <v>240,</v>
      </c>
      <c r="AE7" t="str">
        <f t="shared" si="8"/>
        <v>11110000</v>
      </c>
      <c r="AF7">
        <v>1</v>
      </c>
      <c r="AG7">
        <v>1</v>
      </c>
      <c r="AH7">
        <v>1</v>
      </c>
      <c r="AI7">
        <v>1</v>
      </c>
      <c r="AJ7">
        <v>0</v>
      </c>
      <c r="AK7">
        <v>0</v>
      </c>
      <c r="AL7">
        <v>0</v>
      </c>
      <c r="AM7">
        <v>0</v>
      </c>
      <c r="AN7">
        <v>1</v>
      </c>
      <c r="AO7">
        <v>1</v>
      </c>
      <c r="AP7">
        <v>1</v>
      </c>
      <c r="AQ7">
        <v>1</v>
      </c>
      <c r="AR7">
        <v>0</v>
      </c>
      <c r="AS7">
        <v>0</v>
      </c>
      <c r="AT7">
        <v>0</v>
      </c>
      <c r="AU7">
        <v>0</v>
      </c>
      <c r="AV7" t="str">
        <f t="shared" si="9"/>
        <v>11110000</v>
      </c>
      <c r="AW7" t="str">
        <f t="shared" si="10"/>
        <v>240,</v>
      </c>
      <c r="AX7" t="str">
        <f t="shared" si="11"/>
        <v xml:space="preserve"> 0xF0,</v>
      </c>
      <c r="AY7" t="s">
        <v>0</v>
      </c>
      <c r="AZ7" t="s">
        <v>1</v>
      </c>
      <c r="BD7" t="str">
        <f t="shared" si="12"/>
        <v xml:space="preserve"> 0x70,</v>
      </c>
      <c r="BE7" t="str">
        <f t="shared" si="13"/>
        <v>112,</v>
      </c>
      <c r="BF7" t="str">
        <f t="shared" si="14"/>
        <v>01110000</v>
      </c>
      <c r="BG7">
        <v>0</v>
      </c>
      <c r="BH7">
        <v>1</v>
      </c>
      <c r="BI7">
        <v>1</v>
      </c>
      <c r="BJ7">
        <v>1</v>
      </c>
      <c r="BK7">
        <v>0</v>
      </c>
      <c r="BL7">
        <v>0</v>
      </c>
      <c r="BM7">
        <v>0</v>
      </c>
      <c r="BN7">
        <v>0</v>
      </c>
      <c r="BO7">
        <v>1</v>
      </c>
      <c r="BP7">
        <v>1</v>
      </c>
      <c r="BQ7">
        <v>1</v>
      </c>
      <c r="BR7">
        <v>1</v>
      </c>
      <c r="BS7">
        <v>0</v>
      </c>
      <c r="BT7">
        <v>0</v>
      </c>
      <c r="BU7">
        <v>0</v>
      </c>
      <c r="BV7">
        <v>0</v>
      </c>
      <c r="BW7" t="str">
        <f t="shared" si="15"/>
        <v>11110000</v>
      </c>
      <c r="BX7" t="str">
        <f t="shared" si="16"/>
        <v>240,</v>
      </c>
      <c r="BY7" t="str">
        <f t="shared" si="17"/>
        <v xml:space="preserve"> 0xF0,</v>
      </c>
      <c r="BZ7" t="s">
        <v>0</v>
      </c>
      <c r="CA7" t="s">
        <v>1</v>
      </c>
    </row>
    <row r="8" spans="1:80">
      <c r="B8" t="str">
        <f t="shared" si="0"/>
        <v xml:space="preserve"> 0x70,</v>
      </c>
      <c r="C8" t="str">
        <f t="shared" si="1"/>
        <v>112,</v>
      </c>
      <c r="D8" t="str">
        <f t="shared" si="2"/>
        <v>01110000</v>
      </c>
      <c r="E8">
        <v>0</v>
      </c>
      <c r="F8">
        <v>1</v>
      </c>
      <c r="G8">
        <v>1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0</v>
      </c>
      <c r="U8" t="str">
        <f t="shared" si="3"/>
        <v>01110000</v>
      </c>
      <c r="V8" t="str">
        <f t="shared" si="4"/>
        <v>112,</v>
      </c>
      <c r="W8" t="str">
        <f t="shared" si="5"/>
        <v xml:space="preserve"> 0x70,</v>
      </c>
      <c r="X8" t="s">
        <v>0</v>
      </c>
      <c r="Y8" t="s">
        <v>1</v>
      </c>
      <c r="AC8" t="str">
        <f t="shared" si="6"/>
        <v xml:space="preserve"> 0xE0,</v>
      </c>
      <c r="AD8" t="str">
        <f t="shared" si="7"/>
        <v>224,</v>
      </c>
      <c r="AE8" t="str">
        <f t="shared" si="8"/>
        <v>11100000</v>
      </c>
      <c r="AF8">
        <v>1</v>
      </c>
      <c r="AG8">
        <v>1</v>
      </c>
      <c r="AH8">
        <v>1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1</v>
      </c>
      <c r="AP8">
        <v>1</v>
      </c>
      <c r="AQ8">
        <v>1</v>
      </c>
      <c r="AR8">
        <v>0</v>
      </c>
      <c r="AS8">
        <v>0</v>
      </c>
      <c r="AT8">
        <v>0</v>
      </c>
      <c r="AU8">
        <v>0</v>
      </c>
      <c r="AV8" t="str">
        <f t="shared" si="9"/>
        <v>01110000</v>
      </c>
      <c r="AW8" t="str">
        <f t="shared" si="10"/>
        <v>112,</v>
      </c>
      <c r="AX8" t="str">
        <f t="shared" si="11"/>
        <v xml:space="preserve"> 0x70,</v>
      </c>
      <c r="AY8" t="s">
        <v>0</v>
      </c>
      <c r="AZ8" t="s">
        <v>1</v>
      </c>
      <c r="BD8" t="str">
        <f t="shared" si="12"/>
        <v xml:space="preserve"> 0x70,</v>
      </c>
      <c r="BE8" t="str">
        <f t="shared" si="13"/>
        <v>112,</v>
      </c>
      <c r="BF8" t="str">
        <f t="shared" si="14"/>
        <v>01110000</v>
      </c>
      <c r="BG8">
        <v>0</v>
      </c>
      <c r="BH8">
        <v>1</v>
      </c>
      <c r="BI8">
        <v>1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P8">
        <v>1</v>
      </c>
      <c r="BQ8">
        <v>1</v>
      </c>
      <c r="BR8">
        <v>1</v>
      </c>
      <c r="BS8">
        <v>0</v>
      </c>
      <c r="BT8">
        <v>0</v>
      </c>
      <c r="BU8">
        <v>0</v>
      </c>
      <c r="BV8">
        <v>0</v>
      </c>
      <c r="BW8" t="str">
        <f t="shared" si="15"/>
        <v>01110000</v>
      </c>
      <c r="BX8" t="str">
        <f t="shared" si="16"/>
        <v>112,</v>
      </c>
      <c r="BY8" t="str">
        <f t="shared" si="17"/>
        <v xml:space="preserve"> 0x70,</v>
      </c>
      <c r="BZ8" t="s">
        <v>0</v>
      </c>
      <c r="CA8" t="s">
        <v>1</v>
      </c>
    </row>
    <row r="9" spans="1:80">
      <c r="B9" t="str">
        <f t="shared" si="0"/>
        <v xml:space="preserve"> 0x70,</v>
      </c>
      <c r="C9" t="str">
        <f t="shared" si="1"/>
        <v>112,</v>
      </c>
      <c r="D9" t="str">
        <f t="shared" si="2"/>
        <v>01110000</v>
      </c>
      <c r="E9">
        <v>0</v>
      </c>
      <c r="F9">
        <v>1</v>
      </c>
      <c r="G9">
        <v>1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1</v>
      </c>
      <c r="O9">
        <v>1</v>
      </c>
      <c r="P9">
        <v>1</v>
      </c>
      <c r="Q9">
        <v>0</v>
      </c>
      <c r="R9">
        <v>0</v>
      </c>
      <c r="S9">
        <v>0</v>
      </c>
      <c r="T9">
        <v>0</v>
      </c>
      <c r="U9" t="str">
        <f t="shared" si="3"/>
        <v>01110000</v>
      </c>
      <c r="V9" t="str">
        <f t="shared" si="4"/>
        <v>112,</v>
      </c>
      <c r="W9" t="str">
        <f t="shared" si="5"/>
        <v xml:space="preserve"> 0x70,</v>
      </c>
      <c r="X9" t="s">
        <v>0</v>
      </c>
      <c r="Y9" t="s">
        <v>1</v>
      </c>
      <c r="AC9" t="str">
        <f t="shared" si="6"/>
        <v xml:space="preserve"> 0xE0,</v>
      </c>
      <c r="AD9" t="str">
        <f t="shared" si="7"/>
        <v>224,</v>
      </c>
      <c r="AE9" t="str">
        <f t="shared" si="8"/>
        <v>11100000</v>
      </c>
      <c r="AF9">
        <v>1</v>
      </c>
      <c r="AG9">
        <v>1</v>
      </c>
      <c r="AH9">
        <v>1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1</v>
      </c>
      <c r="AP9">
        <v>1</v>
      </c>
      <c r="AQ9">
        <v>1</v>
      </c>
      <c r="AR9">
        <v>0</v>
      </c>
      <c r="AS9">
        <v>0</v>
      </c>
      <c r="AT9">
        <v>0</v>
      </c>
      <c r="AU9">
        <v>0</v>
      </c>
      <c r="AV9" t="str">
        <f t="shared" si="9"/>
        <v>01110000</v>
      </c>
      <c r="AW9" t="str">
        <f t="shared" si="10"/>
        <v>112,</v>
      </c>
      <c r="AX9" t="str">
        <f t="shared" si="11"/>
        <v xml:space="preserve"> 0x70,</v>
      </c>
      <c r="AY9" t="s">
        <v>0</v>
      </c>
      <c r="AZ9" t="s">
        <v>1</v>
      </c>
      <c r="BD9" t="str">
        <f t="shared" si="12"/>
        <v xml:space="preserve"> 0x70,</v>
      </c>
      <c r="BE9" t="str">
        <f t="shared" si="13"/>
        <v>112,</v>
      </c>
      <c r="BF9" t="str">
        <f t="shared" si="14"/>
        <v>01110000</v>
      </c>
      <c r="BG9">
        <v>0</v>
      </c>
      <c r="BH9">
        <v>1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P9">
        <v>1</v>
      </c>
      <c r="BQ9">
        <v>1</v>
      </c>
      <c r="BR9">
        <v>1</v>
      </c>
      <c r="BS9">
        <v>0</v>
      </c>
      <c r="BT9">
        <v>0</v>
      </c>
      <c r="BU9">
        <v>0</v>
      </c>
      <c r="BV9">
        <v>0</v>
      </c>
      <c r="BW9" t="str">
        <f t="shared" si="15"/>
        <v>01110000</v>
      </c>
      <c r="BX9" t="str">
        <f t="shared" si="16"/>
        <v>112,</v>
      </c>
      <c r="BY9" t="str">
        <f t="shared" si="17"/>
        <v xml:space="preserve"> 0x70,</v>
      </c>
      <c r="BZ9" t="s">
        <v>0</v>
      </c>
      <c r="CA9" t="s">
        <v>1</v>
      </c>
    </row>
    <row r="10" spans="1:80">
      <c r="B10" t="str">
        <f t="shared" si="0"/>
        <v xml:space="preserve"> 0x70,</v>
      </c>
      <c r="C10" t="str">
        <f t="shared" si="1"/>
        <v>112,</v>
      </c>
      <c r="D10" t="str">
        <f t="shared" si="2"/>
        <v>01110000</v>
      </c>
      <c r="E10">
        <v>0</v>
      </c>
      <c r="F10">
        <v>1</v>
      </c>
      <c r="G10">
        <v>1</v>
      </c>
      <c r="H10">
        <v>1</v>
      </c>
      <c r="I10">
        <v>0</v>
      </c>
      <c r="J10">
        <v>0</v>
      </c>
      <c r="K10">
        <v>0</v>
      </c>
      <c r="L10">
        <v>0</v>
      </c>
      <c r="M10">
        <v>0</v>
      </c>
      <c r="N10">
        <v>1</v>
      </c>
      <c r="O10">
        <v>1</v>
      </c>
      <c r="P10">
        <v>1</v>
      </c>
      <c r="Q10">
        <v>0</v>
      </c>
      <c r="R10">
        <v>0</v>
      </c>
      <c r="S10">
        <v>0</v>
      </c>
      <c r="T10">
        <v>0</v>
      </c>
      <c r="U10" t="str">
        <f t="shared" si="3"/>
        <v>01110000</v>
      </c>
      <c r="V10" t="str">
        <f t="shared" si="4"/>
        <v>112,</v>
      </c>
      <c r="W10" t="str">
        <f t="shared" si="5"/>
        <v xml:space="preserve"> 0x70,</v>
      </c>
      <c r="X10" t="s">
        <v>0</v>
      </c>
      <c r="Y10" t="s">
        <v>1</v>
      </c>
      <c r="AC10" t="str">
        <f t="shared" si="6"/>
        <v xml:space="preserve"> 0xE0,</v>
      </c>
      <c r="AD10" t="str">
        <f t="shared" si="7"/>
        <v>224,</v>
      </c>
      <c r="AE10" t="str">
        <f t="shared" si="8"/>
        <v>11100000</v>
      </c>
      <c r="AF10">
        <v>1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1</v>
      </c>
      <c r="AP10">
        <v>1</v>
      </c>
      <c r="AQ10">
        <v>1</v>
      </c>
      <c r="AR10">
        <v>0</v>
      </c>
      <c r="AS10">
        <v>0</v>
      </c>
      <c r="AT10">
        <v>0</v>
      </c>
      <c r="AU10">
        <v>0</v>
      </c>
      <c r="AV10" t="str">
        <f t="shared" si="9"/>
        <v>01110000</v>
      </c>
      <c r="AW10" t="str">
        <f t="shared" si="10"/>
        <v>112,</v>
      </c>
      <c r="AX10" t="str">
        <f t="shared" si="11"/>
        <v xml:space="preserve"> 0x70,</v>
      </c>
      <c r="AY10" t="s">
        <v>0</v>
      </c>
      <c r="AZ10" t="s">
        <v>1</v>
      </c>
      <c r="BD10" t="str">
        <f t="shared" si="12"/>
        <v xml:space="preserve"> 0x70,</v>
      </c>
      <c r="BE10" t="str">
        <f t="shared" si="13"/>
        <v>112,</v>
      </c>
      <c r="BF10" t="str">
        <f t="shared" si="14"/>
        <v>01110000</v>
      </c>
      <c r="BG10">
        <v>0</v>
      </c>
      <c r="BH10">
        <v>1</v>
      </c>
      <c r="BI10">
        <v>1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1</v>
      </c>
      <c r="BQ10">
        <v>1</v>
      </c>
      <c r="BR10">
        <v>1</v>
      </c>
      <c r="BS10">
        <v>0</v>
      </c>
      <c r="BT10">
        <v>0</v>
      </c>
      <c r="BU10">
        <v>0</v>
      </c>
      <c r="BV10">
        <v>0</v>
      </c>
      <c r="BW10" t="str">
        <f t="shared" si="15"/>
        <v>01110000</v>
      </c>
      <c r="BX10" t="str">
        <f t="shared" si="16"/>
        <v>112,</v>
      </c>
      <c r="BY10" t="str">
        <f t="shared" si="17"/>
        <v xml:space="preserve"> 0x70,</v>
      </c>
      <c r="BZ10" t="s">
        <v>0</v>
      </c>
      <c r="CA10" t="s">
        <v>1</v>
      </c>
    </row>
    <row r="11" spans="1:80">
      <c r="B11" t="str">
        <f t="shared" si="0"/>
        <v xml:space="preserve"> 0x70,</v>
      </c>
      <c r="C11" t="str">
        <f t="shared" si="1"/>
        <v>112,</v>
      </c>
      <c r="D11" t="str">
        <f t="shared" si="2"/>
        <v>01110000</v>
      </c>
      <c r="E11">
        <v>0</v>
      </c>
      <c r="F11">
        <v>1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>
        <v>1</v>
      </c>
      <c r="N11">
        <v>1</v>
      </c>
      <c r="O11">
        <v>1</v>
      </c>
      <c r="P11">
        <v>1</v>
      </c>
      <c r="Q11">
        <v>0</v>
      </c>
      <c r="R11">
        <v>0</v>
      </c>
      <c r="S11">
        <v>0</v>
      </c>
      <c r="T11">
        <v>0</v>
      </c>
      <c r="U11" t="str">
        <f t="shared" si="3"/>
        <v>11110000</v>
      </c>
      <c r="V11" t="str">
        <f t="shared" si="4"/>
        <v>240,</v>
      </c>
      <c r="W11" t="str">
        <f t="shared" si="5"/>
        <v xml:space="preserve"> 0xF0,</v>
      </c>
      <c r="X11" t="s">
        <v>0</v>
      </c>
      <c r="Y11" t="s">
        <v>1</v>
      </c>
      <c r="AC11" t="str">
        <f t="shared" si="6"/>
        <v xml:space="preserve"> 0xE0,</v>
      </c>
      <c r="AD11" t="str">
        <f t="shared" si="7"/>
        <v>224,</v>
      </c>
      <c r="AE11" t="str">
        <f t="shared" si="8"/>
        <v>11100000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1</v>
      </c>
      <c r="AP11">
        <v>1</v>
      </c>
      <c r="AQ11">
        <v>1</v>
      </c>
      <c r="AR11">
        <v>0</v>
      </c>
      <c r="AS11">
        <v>0</v>
      </c>
      <c r="AT11">
        <v>0</v>
      </c>
      <c r="AU11">
        <v>0</v>
      </c>
      <c r="AV11" t="str">
        <f t="shared" si="9"/>
        <v>01110000</v>
      </c>
      <c r="AW11" t="str">
        <f t="shared" si="10"/>
        <v>112,</v>
      </c>
      <c r="AX11" t="str">
        <f t="shared" si="11"/>
        <v xml:space="preserve"> 0x70,</v>
      </c>
      <c r="AY11" t="s">
        <v>0</v>
      </c>
      <c r="AZ11" t="s">
        <v>1</v>
      </c>
      <c r="BD11" t="str">
        <f t="shared" si="12"/>
        <v xml:space="preserve"> 0x70,</v>
      </c>
      <c r="BE11" t="str">
        <f t="shared" si="13"/>
        <v>112,</v>
      </c>
      <c r="BF11" t="str">
        <f t="shared" si="14"/>
        <v>01110000</v>
      </c>
      <c r="BG11">
        <v>0</v>
      </c>
      <c r="BH11">
        <v>1</v>
      </c>
      <c r="BI11">
        <v>1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1</v>
      </c>
      <c r="BP11">
        <v>1</v>
      </c>
      <c r="BQ11">
        <v>1</v>
      </c>
      <c r="BR11">
        <v>1</v>
      </c>
      <c r="BS11">
        <v>0</v>
      </c>
      <c r="BT11">
        <v>0</v>
      </c>
      <c r="BU11">
        <v>0</v>
      </c>
      <c r="BV11">
        <v>0</v>
      </c>
      <c r="BW11" t="str">
        <f t="shared" si="15"/>
        <v>11110000</v>
      </c>
      <c r="BX11" t="str">
        <f t="shared" si="16"/>
        <v>240,</v>
      </c>
      <c r="BY11" t="str">
        <f t="shared" si="17"/>
        <v xml:space="preserve"> 0xF0,</v>
      </c>
      <c r="BZ11" t="s">
        <v>0</v>
      </c>
      <c r="CA11" t="s">
        <v>1</v>
      </c>
    </row>
    <row r="12" spans="1:80">
      <c r="B12" t="str">
        <f t="shared" si="0"/>
        <v xml:space="preserve"> 0x7F,</v>
      </c>
      <c r="C12" t="str">
        <f t="shared" si="1"/>
        <v>127,</v>
      </c>
      <c r="D12" t="str">
        <f t="shared" si="2"/>
        <v>01111111</v>
      </c>
      <c r="E12">
        <v>0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11100000</v>
      </c>
      <c r="V12" t="str">
        <f t="shared" si="4"/>
        <v>224,</v>
      </c>
      <c r="W12" t="str">
        <f t="shared" si="5"/>
        <v xml:space="preserve"> 0xE0,</v>
      </c>
      <c r="X12" t="s">
        <v>0</v>
      </c>
      <c r="Y12" t="s">
        <v>1</v>
      </c>
      <c r="AC12" t="str">
        <f t="shared" si="6"/>
        <v xml:space="preserve"> 0xE0,</v>
      </c>
      <c r="AD12" t="str">
        <f t="shared" si="7"/>
        <v>224,</v>
      </c>
      <c r="AE12" t="str">
        <f t="shared" si="8"/>
        <v>11100000</v>
      </c>
      <c r="AF12">
        <v>1</v>
      </c>
      <c r="AG12">
        <v>1</v>
      </c>
      <c r="AH12">
        <v>1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1</v>
      </c>
      <c r="AP12">
        <v>1</v>
      </c>
      <c r="AQ12">
        <v>1</v>
      </c>
      <c r="AR12">
        <v>0</v>
      </c>
      <c r="AS12">
        <v>0</v>
      </c>
      <c r="AT12">
        <v>0</v>
      </c>
      <c r="AU12">
        <v>0</v>
      </c>
      <c r="AV12" t="str">
        <f t="shared" si="9"/>
        <v>01110000</v>
      </c>
      <c r="AW12" t="str">
        <f t="shared" si="10"/>
        <v>112,</v>
      </c>
      <c r="AX12" t="str">
        <f t="shared" si="11"/>
        <v xml:space="preserve"> 0x70,</v>
      </c>
      <c r="AY12" t="s">
        <v>0</v>
      </c>
      <c r="AZ12" t="s">
        <v>1</v>
      </c>
      <c r="BD12" t="str">
        <f t="shared" si="12"/>
        <v xml:space="preserve"> 0x7F,</v>
      </c>
      <c r="BE12" t="str">
        <f t="shared" si="13"/>
        <v>127,</v>
      </c>
      <c r="BF12" t="str">
        <f t="shared" si="14"/>
        <v>01111111</v>
      </c>
      <c r="BG12">
        <v>0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11100000</v>
      </c>
      <c r="BX12" t="str">
        <f t="shared" si="16"/>
        <v>224,</v>
      </c>
      <c r="BY12" t="str">
        <f t="shared" si="17"/>
        <v xml:space="preserve"> 0xE0,</v>
      </c>
      <c r="BZ12" t="s">
        <v>0</v>
      </c>
      <c r="CA12" t="s">
        <v>1</v>
      </c>
    </row>
    <row r="13" spans="1:80">
      <c r="B13" t="str">
        <f t="shared" si="0"/>
        <v xml:space="preserve"> 0x7F,</v>
      </c>
      <c r="C13" t="str">
        <f t="shared" si="1"/>
        <v>127,</v>
      </c>
      <c r="D13" t="str">
        <f t="shared" si="2"/>
        <v>01111111</v>
      </c>
      <c r="E13">
        <v>0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11000000</v>
      </c>
      <c r="V13" t="str">
        <f t="shared" si="4"/>
        <v>192,</v>
      </c>
      <c r="W13" t="str">
        <f t="shared" si="5"/>
        <v xml:space="preserve"> 0xC0,</v>
      </c>
      <c r="X13" t="s">
        <v>0</v>
      </c>
      <c r="Y13" t="s">
        <v>1</v>
      </c>
      <c r="AC13" t="str">
        <f t="shared" si="6"/>
        <v xml:space="preserve"> 0xE0,</v>
      </c>
      <c r="AD13" t="str">
        <f t="shared" si="7"/>
        <v>224,</v>
      </c>
      <c r="AE13" t="str">
        <f t="shared" si="8"/>
        <v>11100000</v>
      </c>
      <c r="AF13">
        <v>1</v>
      </c>
      <c r="AG13">
        <v>1</v>
      </c>
      <c r="AH13">
        <v>1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1</v>
      </c>
      <c r="AP13">
        <v>1</v>
      </c>
      <c r="AQ13">
        <v>1</v>
      </c>
      <c r="AR13">
        <v>0</v>
      </c>
      <c r="AS13">
        <v>0</v>
      </c>
      <c r="AT13">
        <v>0</v>
      </c>
      <c r="AU13">
        <v>0</v>
      </c>
      <c r="AV13" t="str">
        <f t="shared" si="9"/>
        <v>01110000</v>
      </c>
      <c r="AW13" t="str">
        <f t="shared" si="10"/>
        <v>112,</v>
      </c>
      <c r="AX13" t="str">
        <f t="shared" si="11"/>
        <v xml:space="preserve"> 0x70,</v>
      </c>
      <c r="AY13" t="s">
        <v>0</v>
      </c>
      <c r="AZ13" t="s">
        <v>1</v>
      </c>
      <c r="BD13" t="str">
        <f t="shared" si="12"/>
        <v xml:space="preserve"> 0x7F,</v>
      </c>
      <c r="BE13" t="str">
        <f t="shared" si="13"/>
        <v>127,</v>
      </c>
      <c r="BF13" t="str">
        <f t="shared" si="14"/>
        <v>01111111</v>
      </c>
      <c r="BG13">
        <v>0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11000000</v>
      </c>
      <c r="BX13" t="str">
        <f t="shared" si="16"/>
        <v>192,</v>
      </c>
      <c r="BY13" t="str">
        <f t="shared" si="17"/>
        <v xml:space="preserve"> 0xC0,</v>
      </c>
      <c r="BZ13" t="s">
        <v>0</v>
      </c>
      <c r="CA13" t="s">
        <v>1</v>
      </c>
    </row>
    <row r="14" spans="1:80">
      <c r="B14" t="str">
        <f t="shared" si="0"/>
        <v xml:space="preserve"> 0x70,</v>
      </c>
      <c r="C14" t="str">
        <f t="shared" si="1"/>
        <v>112,</v>
      </c>
      <c r="D14" t="str">
        <f t="shared" si="2"/>
        <v>01110000</v>
      </c>
      <c r="E14">
        <v>0</v>
      </c>
      <c r="F14">
        <v>1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0xE6,</v>
      </c>
      <c r="AD14" t="str">
        <f t="shared" si="7"/>
        <v>230,</v>
      </c>
      <c r="AE14" t="str">
        <f t="shared" si="8"/>
        <v>11100110</v>
      </c>
      <c r="AF14">
        <v>1</v>
      </c>
      <c r="AG14">
        <v>1</v>
      </c>
      <c r="AH14">
        <v>1</v>
      </c>
      <c r="AI14">
        <v>0</v>
      </c>
      <c r="AJ14">
        <v>0</v>
      </c>
      <c r="AK14">
        <v>1</v>
      </c>
      <c r="AL14">
        <v>1</v>
      </c>
      <c r="AM14">
        <v>0</v>
      </c>
      <c r="AN14">
        <v>0</v>
      </c>
      <c r="AO14">
        <v>1</v>
      </c>
      <c r="AP14">
        <v>1</v>
      </c>
      <c r="AQ14">
        <v>1</v>
      </c>
      <c r="AR14">
        <v>0</v>
      </c>
      <c r="AS14">
        <v>0</v>
      </c>
      <c r="AT14">
        <v>0</v>
      </c>
      <c r="AU14">
        <v>0</v>
      </c>
      <c r="AV14" t="str">
        <f t="shared" si="9"/>
        <v>01110000</v>
      </c>
      <c r="AW14" t="str">
        <f t="shared" si="10"/>
        <v>112,</v>
      </c>
      <c r="AX14" t="str">
        <f t="shared" si="11"/>
        <v xml:space="preserve"> 0x70,</v>
      </c>
      <c r="AY14" t="s">
        <v>0</v>
      </c>
      <c r="AZ14" t="s">
        <v>1</v>
      </c>
      <c r="BD14" t="str">
        <f t="shared" si="12"/>
        <v xml:space="preserve"> 0x7F,</v>
      </c>
      <c r="BE14" t="str">
        <f t="shared" si="13"/>
        <v>127,</v>
      </c>
      <c r="BF14" t="str">
        <f t="shared" si="14"/>
        <v>01111111</v>
      </c>
      <c r="BG14">
        <v>0</v>
      </c>
      <c r="BH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0x70,</v>
      </c>
      <c r="C15" t="str">
        <f t="shared" si="1"/>
        <v>112,</v>
      </c>
      <c r="D15" t="str">
        <f t="shared" si="2"/>
        <v>01110000</v>
      </c>
      <c r="E15">
        <v>0</v>
      </c>
      <c r="F15">
        <v>1</v>
      </c>
      <c r="G15">
        <v>1</v>
      </c>
      <c r="H15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0xE7,</v>
      </c>
      <c r="AD15" t="str">
        <f t="shared" si="7"/>
        <v>231,</v>
      </c>
      <c r="AE15" t="str">
        <f t="shared" si="8"/>
        <v>11100111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0</v>
      </c>
      <c r="AO15">
        <v>1</v>
      </c>
      <c r="AP15">
        <v>1</v>
      </c>
      <c r="AQ15">
        <v>1</v>
      </c>
      <c r="AR15">
        <v>0</v>
      </c>
      <c r="AS15">
        <v>0</v>
      </c>
      <c r="AT15">
        <v>0</v>
      </c>
      <c r="AU15">
        <v>0</v>
      </c>
      <c r="AV15" t="str">
        <f t="shared" si="9"/>
        <v>01110000</v>
      </c>
      <c r="AW15" t="str">
        <f t="shared" si="10"/>
        <v>112,</v>
      </c>
      <c r="AX15" t="str">
        <f t="shared" si="11"/>
        <v xml:space="preserve"> 0x70,</v>
      </c>
      <c r="AY15" t="s">
        <v>0</v>
      </c>
      <c r="AZ15" t="s">
        <v>1</v>
      </c>
      <c r="BD15" t="str">
        <f t="shared" si="12"/>
        <v xml:space="preserve"> 0x77,</v>
      </c>
      <c r="BE15" t="str">
        <f t="shared" si="13"/>
        <v>119,</v>
      </c>
      <c r="BF15" t="str">
        <f t="shared" si="14"/>
        <v>01110111</v>
      </c>
      <c r="BG15">
        <v>0</v>
      </c>
      <c r="BH15">
        <v>1</v>
      </c>
      <c r="BI15">
        <v>1</v>
      </c>
      <c r="BJ15">
        <v>1</v>
      </c>
      <c r="BK15">
        <v>0</v>
      </c>
      <c r="BL15">
        <v>1</v>
      </c>
      <c r="BM15">
        <v>1</v>
      </c>
      <c r="BN15">
        <v>1</v>
      </c>
      <c r="BO15">
        <v>1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10000000</v>
      </c>
      <c r="BX15" t="str">
        <f t="shared" si="16"/>
        <v>128,</v>
      </c>
      <c r="BY15" t="str">
        <f t="shared" si="17"/>
        <v xml:space="preserve"> 0x80,</v>
      </c>
      <c r="BZ15" t="s">
        <v>0</v>
      </c>
      <c r="CA15" t="s">
        <v>1</v>
      </c>
    </row>
    <row r="16" spans="1:80">
      <c r="B16" t="str">
        <f t="shared" si="0"/>
        <v xml:space="preserve"> 0x70,</v>
      </c>
      <c r="C16" t="str">
        <f t="shared" si="1"/>
        <v>112,</v>
      </c>
      <c r="D16" t="str">
        <f t="shared" si="2"/>
        <v>01110000</v>
      </c>
      <c r="E16">
        <v>0</v>
      </c>
      <c r="F16">
        <v>1</v>
      </c>
      <c r="G16">
        <v>1</v>
      </c>
      <c r="H16">
        <v>1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0xE3,</v>
      </c>
      <c r="AD16" t="str">
        <f t="shared" si="7"/>
        <v>227,</v>
      </c>
      <c r="AE16" t="str">
        <f t="shared" si="8"/>
        <v>11100011</v>
      </c>
      <c r="AF16">
        <v>1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0</v>
      </c>
      <c r="AS16">
        <v>0</v>
      </c>
      <c r="AT16">
        <v>0</v>
      </c>
      <c r="AU16">
        <v>0</v>
      </c>
      <c r="AV16" t="str">
        <f t="shared" si="9"/>
        <v>11110000</v>
      </c>
      <c r="AW16" t="str">
        <f t="shared" si="10"/>
        <v>240,</v>
      </c>
      <c r="AX16" t="str">
        <f t="shared" si="11"/>
        <v xml:space="preserve"> 0xF0,</v>
      </c>
      <c r="AY16" t="s">
        <v>0</v>
      </c>
      <c r="AZ16" t="s">
        <v>1</v>
      </c>
      <c r="BD16" t="str">
        <f t="shared" si="12"/>
        <v xml:space="preserve"> 0x73,</v>
      </c>
      <c r="BE16" t="str">
        <f t="shared" si="13"/>
        <v>115,</v>
      </c>
      <c r="BF16" t="str">
        <f t="shared" si="14"/>
        <v>01110011</v>
      </c>
      <c r="BG16">
        <v>0</v>
      </c>
      <c r="BH16">
        <v>1</v>
      </c>
      <c r="BI16">
        <v>1</v>
      </c>
      <c r="BJ16">
        <v>1</v>
      </c>
      <c r="BK16">
        <v>0</v>
      </c>
      <c r="BL16">
        <v>0</v>
      </c>
      <c r="BM16">
        <v>1</v>
      </c>
      <c r="BN16">
        <v>1</v>
      </c>
      <c r="BO16">
        <v>1</v>
      </c>
      <c r="BP16">
        <v>1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11000000</v>
      </c>
      <c r="BX16" t="str">
        <f t="shared" si="16"/>
        <v>192,</v>
      </c>
      <c r="BY16" t="str">
        <f t="shared" si="17"/>
        <v xml:space="preserve"> 0xC0,</v>
      </c>
      <c r="BZ16" t="s">
        <v>0</v>
      </c>
      <c r="CA16" t="s">
        <v>1</v>
      </c>
    </row>
    <row r="17" spans="1:79">
      <c r="B17" t="str">
        <f t="shared" si="0"/>
        <v xml:space="preserve"> 0x70,</v>
      </c>
      <c r="C17" t="str">
        <f t="shared" si="1"/>
        <v>112,</v>
      </c>
      <c r="D17" t="str">
        <f t="shared" si="2"/>
        <v>01110000</v>
      </c>
      <c r="E17">
        <v>0</v>
      </c>
      <c r="F17">
        <v>1</v>
      </c>
      <c r="G17">
        <v>1</v>
      </c>
      <c r="H17">
        <v>1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0xE1,</v>
      </c>
      <c r="AD17" t="str">
        <f t="shared" si="7"/>
        <v>225,</v>
      </c>
      <c r="AE17" t="str">
        <f t="shared" si="8"/>
        <v>11100001</v>
      </c>
      <c r="AF17">
        <v>1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1</v>
      </c>
      <c r="AN17">
        <v>1</v>
      </c>
      <c r="AO17">
        <v>1</v>
      </c>
      <c r="AP17">
        <v>1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11100000</v>
      </c>
      <c r="AW17" t="str">
        <f t="shared" si="10"/>
        <v>224,</v>
      </c>
      <c r="AX17" t="str">
        <f t="shared" si="11"/>
        <v xml:space="preserve"> 0xE0,</v>
      </c>
      <c r="AY17" t="s">
        <v>0</v>
      </c>
      <c r="AZ17" t="s">
        <v>1</v>
      </c>
      <c r="BD17" t="str">
        <f t="shared" si="12"/>
        <v xml:space="preserve"> 0x71,</v>
      </c>
      <c r="BE17" t="str">
        <f t="shared" si="13"/>
        <v>113,</v>
      </c>
      <c r="BF17" t="str">
        <f t="shared" si="14"/>
        <v>01110001</v>
      </c>
      <c r="BG17">
        <v>0</v>
      </c>
      <c r="BH17">
        <v>1</v>
      </c>
      <c r="BI17">
        <v>1</v>
      </c>
      <c r="BJ17">
        <v>1</v>
      </c>
      <c r="BK17">
        <v>0</v>
      </c>
      <c r="BL17">
        <v>0</v>
      </c>
      <c r="BM17">
        <v>0</v>
      </c>
      <c r="BN17">
        <v>1</v>
      </c>
      <c r="BO17">
        <v>1</v>
      </c>
      <c r="BP17">
        <v>1</v>
      </c>
      <c r="BQ17">
        <v>1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11100000</v>
      </c>
      <c r="BX17" t="str">
        <f t="shared" si="16"/>
        <v>224,</v>
      </c>
      <c r="BY17" t="str">
        <f t="shared" si="17"/>
        <v xml:space="preserve"> 0xE0,</v>
      </c>
      <c r="BZ17" t="s">
        <v>0</v>
      </c>
      <c r="CA17" t="s">
        <v>1</v>
      </c>
    </row>
    <row r="18" spans="1:79">
      <c r="B18" t="str">
        <f t="shared" si="0"/>
        <v xml:space="preserve"> 0x70,</v>
      </c>
      <c r="C18" t="str">
        <f t="shared" si="1"/>
        <v>112,</v>
      </c>
      <c r="D18" t="str">
        <f t="shared" si="2"/>
        <v>01110000</v>
      </c>
      <c r="E18">
        <v>0</v>
      </c>
      <c r="F18">
        <v>1</v>
      </c>
      <c r="G18">
        <v>1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0xF3,</v>
      </c>
      <c r="AD18" t="str">
        <f t="shared" si="7"/>
        <v>243,</v>
      </c>
      <c r="AE18" t="str">
        <f t="shared" si="8"/>
        <v>11110011</v>
      </c>
      <c r="AF18">
        <v>1</v>
      </c>
      <c r="AG18">
        <v>1</v>
      </c>
      <c r="AH18">
        <v>1</v>
      </c>
      <c r="AI18">
        <v>1</v>
      </c>
      <c r="AJ18">
        <v>0</v>
      </c>
      <c r="AK18">
        <v>0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11100000</v>
      </c>
      <c r="AW18" t="str">
        <f t="shared" si="10"/>
        <v>224,</v>
      </c>
      <c r="AX18" t="str">
        <f t="shared" si="11"/>
        <v xml:space="preserve"> 0xE0,</v>
      </c>
      <c r="AY18" t="s">
        <v>0</v>
      </c>
      <c r="AZ18" t="s">
        <v>1</v>
      </c>
      <c r="BD18" t="str">
        <f t="shared" si="12"/>
        <v xml:space="preserve"> 0x70,</v>
      </c>
      <c r="BE18" t="str">
        <f t="shared" si="13"/>
        <v>112,</v>
      </c>
      <c r="BF18" t="str">
        <f t="shared" si="14"/>
        <v>01110000</v>
      </c>
      <c r="BG18">
        <v>0</v>
      </c>
      <c r="BH18">
        <v>1</v>
      </c>
      <c r="BI18">
        <v>1</v>
      </c>
      <c r="BJ18">
        <v>1</v>
      </c>
      <c r="BK18">
        <v>0</v>
      </c>
      <c r="BL18">
        <v>0</v>
      </c>
      <c r="BM18">
        <v>0</v>
      </c>
      <c r="BN18">
        <v>0</v>
      </c>
      <c r="BO18">
        <v>1</v>
      </c>
      <c r="BP18">
        <v>1</v>
      </c>
      <c r="BQ18">
        <v>1</v>
      </c>
      <c r="BR18">
        <v>1</v>
      </c>
      <c r="BS18">
        <v>0</v>
      </c>
      <c r="BT18">
        <v>0</v>
      </c>
      <c r="BU18">
        <v>0</v>
      </c>
      <c r="BV18">
        <v>0</v>
      </c>
      <c r="BW18" t="str">
        <f t="shared" si="15"/>
        <v>11110000</v>
      </c>
      <c r="BX18" t="str">
        <f t="shared" si="16"/>
        <v>240,</v>
      </c>
      <c r="BY18" t="str">
        <f t="shared" si="17"/>
        <v xml:space="preserve"> 0xF0,</v>
      </c>
      <c r="BZ18" t="s">
        <v>0</v>
      </c>
      <c r="CA18" t="s">
        <v>1</v>
      </c>
    </row>
    <row r="19" spans="1:79">
      <c r="B19" t="str">
        <f t="shared" si="0"/>
        <v xml:space="preserve"> 0x70,</v>
      </c>
      <c r="C19" t="str">
        <f t="shared" si="1"/>
        <v>112,</v>
      </c>
      <c r="D19" t="str">
        <f t="shared" si="2"/>
        <v>01110000</v>
      </c>
      <c r="E19">
        <v>0</v>
      </c>
      <c r="F19">
        <v>1</v>
      </c>
      <c r="G19">
        <v>1</v>
      </c>
      <c r="H19">
        <v>1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0x7F,</v>
      </c>
      <c r="AD19" t="str">
        <f t="shared" si="7"/>
        <v>127,</v>
      </c>
      <c r="AE19" t="str">
        <f t="shared" si="8"/>
        <v>01111111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0</v>
      </c>
      <c r="AS19">
        <v>0</v>
      </c>
      <c r="AT19">
        <v>0</v>
      </c>
      <c r="AU19">
        <v>0</v>
      </c>
      <c r="AV19" t="str">
        <f t="shared" si="9"/>
        <v>11110000</v>
      </c>
      <c r="AW19" t="str">
        <f t="shared" si="10"/>
        <v>240,</v>
      </c>
      <c r="AX19" t="str">
        <f t="shared" si="11"/>
        <v xml:space="preserve"> 0xF0,</v>
      </c>
      <c r="AY19" t="s">
        <v>0</v>
      </c>
      <c r="AZ19" t="s">
        <v>1</v>
      </c>
      <c r="BD19" t="str">
        <f t="shared" si="12"/>
        <v xml:space="preserve"> 0x70,</v>
      </c>
      <c r="BE19" t="str">
        <f t="shared" si="13"/>
        <v>112,</v>
      </c>
      <c r="BF19" t="str">
        <f t="shared" si="14"/>
        <v>01110000</v>
      </c>
      <c r="BG19">
        <v>0</v>
      </c>
      <c r="BH19">
        <v>1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1</v>
      </c>
      <c r="BQ19">
        <v>1</v>
      </c>
      <c r="BR19">
        <v>1</v>
      </c>
      <c r="BS19">
        <v>0</v>
      </c>
      <c r="BT19">
        <v>0</v>
      </c>
      <c r="BU19">
        <v>0</v>
      </c>
      <c r="BV19">
        <v>0</v>
      </c>
      <c r="BW19" t="str">
        <f t="shared" si="15"/>
        <v>01110000</v>
      </c>
      <c r="BX19" t="str">
        <f t="shared" si="16"/>
        <v>112,</v>
      </c>
      <c r="BY19" t="str">
        <f t="shared" si="17"/>
        <v xml:space="preserve"> 0x70,</v>
      </c>
      <c r="BZ19" t="s">
        <v>0</v>
      </c>
      <c r="CA19" t="s">
        <v>1</v>
      </c>
    </row>
    <row r="20" spans="1:79">
      <c r="B20" t="str">
        <f t="shared" si="0"/>
        <v xml:space="preserve"> 0x70,</v>
      </c>
      <c r="C20" t="str">
        <f t="shared" si="1"/>
        <v>112,</v>
      </c>
      <c r="D20" t="str">
        <f t="shared" si="2"/>
        <v>01110000</v>
      </c>
      <c r="E20">
        <v>0</v>
      </c>
      <c r="F20">
        <v>1</v>
      </c>
      <c r="G20">
        <v>1</v>
      </c>
      <c r="H20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0x3F,</v>
      </c>
      <c r="AD20" t="str">
        <f t="shared" si="7"/>
        <v>63,</v>
      </c>
      <c r="AE20" t="str">
        <f t="shared" si="8"/>
        <v>00111111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0</v>
      </c>
      <c r="AP20">
        <v>1</v>
      </c>
      <c r="AQ20">
        <v>1</v>
      </c>
      <c r="AR20">
        <v>0</v>
      </c>
      <c r="AS20">
        <v>0</v>
      </c>
      <c r="AT20">
        <v>0</v>
      </c>
      <c r="AU20">
        <v>0</v>
      </c>
      <c r="AV20" t="str">
        <f t="shared" si="9"/>
        <v>10110000</v>
      </c>
      <c r="AW20" t="str">
        <f t="shared" si="10"/>
        <v>176,</v>
      </c>
      <c r="AX20" t="str">
        <f t="shared" si="11"/>
        <v xml:space="preserve"> 0xB0,</v>
      </c>
      <c r="AY20" t="s">
        <v>0</v>
      </c>
      <c r="AZ20" t="s">
        <v>1</v>
      </c>
      <c r="BD20" t="str">
        <f t="shared" si="12"/>
        <v xml:space="preserve"> 0x70,</v>
      </c>
      <c r="BE20" t="str">
        <f t="shared" si="13"/>
        <v>112,</v>
      </c>
      <c r="BF20" t="str">
        <f t="shared" si="14"/>
        <v>01110000</v>
      </c>
      <c r="BG20">
        <v>0</v>
      </c>
      <c r="BH20">
        <v>1</v>
      </c>
      <c r="BI20">
        <v>1</v>
      </c>
      <c r="BJ20">
        <v>1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1</v>
      </c>
      <c r="BQ20">
        <v>1</v>
      </c>
      <c r="BR20">
        <v>1</v>
      </c>
      <c r="BS20">
        <v>0</v>
      </c>
      <c r="BT20">
        <v>0</v>
      </c>
      <c r="BU20">
        <v>0</v>
      </c>
      <c r="BV20">
        <v>0</v>
      </c>
      <c r="BW20" t="str">
        <f t="shared" si="15"/>
        <v>01110000</v>
      </c>
      <c r="BX20" t="str">
        <f t="shared" si="16"/>
        <v>112,</v>
      </c>
      <c r="BY20" t="str">
        <f t="shared" si="17"/>
        <v xml:space="preserve"> 0x70,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1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12,</v>
      </c>
      <c r="V22" t="str">
        <f>Y20&amp;DEC2HEX(U22,2)&amp;X20</f>
        <v xml:space="preserve"> 0x0C,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1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12,</v>
      </c>
      <c r="AW22" t="str">
        <f>AZ20&amp;DEC2HEX(AV22,2)&amp;AY20</f>
        <v xml:space="preserve"> 0x0C,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1</v>
      </c>
      <c r="BR22">
        <f t="shared" si="20"/>
        <v>1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12,</v>
      </c>
      <c r="BX22" t="str">
        <f>CA20&amp;DEC2HEX(BW22,2)&amp;BZ20</f>
        <v xml:space="preserve"> 0x0C,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12,255,192,255,224,112,240,112,112,112,112,112,112,112,240,127,224,127,192,112,0,112,0,112,0,112,0,112,0,112,0,112,0,//P//80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12,63,192,127,224,240,240,224,112,224,112,224,112,224,112,224,112,224,112,230,112,231,112,227,240,225,224,243,224,127,240,63,176,//Q//81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12,255,192,255,224,112,240,112,112,112,112,112,112,112,240,127,224,127,192,127,0,119,128,115,192,113,224,112,240,112,112,112,112,//R//82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0x0C, 0xFF, 0xC0, 0xFF, 0xE0, 0x70, 0xF0, 0x70, 0x70, 0x70, 0x70, 0x70, 0x70, 0x70, 0xF0, 0x7F, 0xE0, 0x7F, 0xC0, 0x70, 0x00, 0x70, 0x00, 0x70, 0x00, 0x70, 0x00, 0x70, 0x00, 0x70, 0x00, 0x70, 0x00,//P//80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0x0C, 0x3F, 0xC0, 0x7F, 0xE0, 0xF0, 0xF0, 0xE0, 0x70, 0xE0, 0x70, 0xE0, 0x70, 0xE0, 0x70, 0xE0, 0x70, 0xE0, 0x70, 0xE6, 0x70, 0xE7, 0x70, 0xE3, 0xF0, 0xE1, 0xE0, 0xF3, 0xE0, 0x7F, 0xF0, 0x3F, 0xB0,//Q//81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0x0C, 0xFF, 0xC0, 0xFF, 0xE0, 0x70, 0xF0, 0x70, 0x70, 0x70, 0x70, 0x70, 0x70, 0x70, 0xF0, 0x7F, 0xE0, 0x7F, 0xC0, 0x7F, 0x00, 0x77, 0x80, 0x73, 0xC0, 0x71, 0xE0, 0x70, 0xF0, 0x70, 0x70, 0x70, 0x70,//R//82</v>
      </c>
    </row>
    <row r="28" spans="1:79">
      <c r="A28" s="1" t="str">
        <f>$B$24</f>
        <v>12,255,192,255,224,112,240,112,112,112,112,112,112,112,240,127,224,127,192,112,0,112,0,112,0,112,0,112,0,112,0,112,0,//P//80</v>
      </c>
      <c r="E28" t="s">
        <v>4</v>
      </c>
      <c r="AB28" s="1" t="str">
        <f>$AC$24</f>
        <v>12,63,192,127,224,240,240,224,112,224,112,224,112,224,112,224,112,224,112,230,112,231,112,227,240,225,224,243,224,127,240,63,176,//Q//81</v>
      </c>
      <c r="AF28" t="s">
        <v>4</v>
      </c>
      <c r="BC28" s="1" t="str">
        <f>$BD$24</f>
        <v>12,255,192,255,224,112,240,112,112,112,112,112,112,112,240,127,224,127,192,127,0,119,128,115,192,113,224,112,240,112,112,112,112,//R//82</v>
      </c>
      <c r="BG28" t="s">
        <v>4</v>
      </c>
    </row>
    <row r="29" spans="1:79">
      <c r="A29" s="2" t="str">
        <f>$B$25</f>
        <v xml:space="preserve"> 0x0C, 0xFF, 0xC0, 0xFF, 0xE0, 0x70, 0xF0, 0x70, 0x70, 0x70, 0x70, 0x70, 0x70, 0x70, 0xF0, 0x7F, 0xE0, 0x7F, 0xC0, 0x70, 0x00, 0x70, 0x00, 0x70, 0x00, 0x70, 0x00, 0x70, 0x00, 0x70, 0x00, 0x70, 0x00,//P//80</v>
      </c>
      <c r="E29" t="s">
        <v>3</v>
      </c>
      <c r="AB29" s="2" t="str">
        <f>$AC$25</f>
        <v xml:space="preserve"> 0x0C, 0x3F, 0xC0, 0x7F, 0xE0, 0xF0, 0xF0, 0xE0, 0x70, 0xE0, 0x70, 0xE0, 0x70, 0xE0, 0x70, 0xE0, 0x70, 0xE0, 0x70, 0xE6, 0x70, 0xE7, 0x70, 0xE3, 0xF0, 0xE1, 0xE0, 0xF3, 0xE0, 0x7F, 0xF0, 0x3F, 0xB0,//Q//81</v>
      </c>
      <c r="AF29" t="s">
        <v>3</v>
      </c>
      <c r="BC29" s="2" t="str">
        <f>$BD$25</f>
        <v xml:space="preserve"> 0x0C, 0xFF, 0xC0, 0xFF, 0xE0, 0x70, 0xF0, 0x70, 0x70, 0x70, 0x70, 0x70, 0x70, 0x70, 0xF0, 0x7F, 0xE0, 0x7F, 0xC0, 0x7F, 0x00, 0x77, 0x80, 0x73, 0xC0, 0x71, 0xE0, 0x70, 0xF0, 0x70, 0x70, 0x70, 0x70,//R//82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9"/>
  <dimension ref="A4:CB29"/>
  <sheetViews>
    <sheetView topLeftCell="A2" workbookViewId="0">
      <selection activeCell="L33" sqref="L33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83</v>
      </c>
      <c r="Z4" t="s">
        <v>5</v>
      </c>
      <c r="AB4" s="3">
        <v>84</v>
      </c>
      <c r="BA4" t="s">
        <v>5</v>
      </c>
      <c r="BC4" s="3">
        <v>85</v>
      </c>
      <c r="CB4" t="s">
        <v>5</v>
      </c>
    </row>
    <row r="5" spans="1:80">
      <c r="A5" s="3" t="s">
        <v>252</v>
      </c>
      <c r="B5" t="str">
        <f>Z5&amp;Y5&amp;BIN2HEX(D5,2)&amp;X5</f>
        <v xml:space="preserve"> 0x3F,</v>
      </c>
      <c r="C5" t="str">
        <f>Z5&amp;BIN2DEC(D5)&amp;X5</f>
        <v>63,</v>
      </c>
      <c r="D5" t="str">
        <f>E5&amp;F5&amp;G5&amp;H5&amp;I5&amp;J5&amp;K5&amp;L5</f>
        <v>00111111</v>
      </c>
      <c r="E5">
        <v>0</v>
      </c>
      <c r="F5">
        <v>0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11000000</v>
      </c>
      <c r="V5" t="str">
        <f>Z5&amp;BIN2DEC(U5)&amp;X5</f>
        <v>192,</v>
      </c>
      <c r="W5" t="str">
        <f>Z5&amp;Y5&amp;BIN2HEX(U5,2)&amp;X5</f>
        <v xml:space="preserve"> 0xC0,</v>
      </c>
      <c r="X5" t="s">
        <v>0</v>
      </c>
      <c r="Y5" t="s">
        <v>1</v>
      </c>
      <c r="AB5" s="3" t="s">
        <v>253</v>
      </c>
      <c r="AC5" t="str">
        <f>BA5&amp;AZ5&amp;BIN2HEX(AE5,2)&amp;AY5</f>
        <v xml:space="preserve"> 0xFF,</v>
      </c>
      <c r="AD5" t="str">
        <f>BA5&amp;BIN2DEC(AE5)&amp;AY5</f>
        <v>255,</v>
      </c>
      <c r="AE5" t="str">
        <f>AF5&amp;AG5&amp;AH5&amp;AI5&amp;AJ5&amp;AK5&amp;AL5&amp;AM5</f>
        <v>11111111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11100000</v>
      </c>
      <c r="AW5" t="str">
        <f>BA5&amp;BIN2DEC(AV5)&amp;AY5</f>
        <v>224,</v>
      </c>
      <c r="AX5" t="str">
        <f>BA5&amp;AZ5&amp;BIN2HEX(AV5,2)&amp;AY5</f>
        <v xml:space="preserve"> 0xE0,</v>
      </c>
      <c r="AY5" t="s">
        <v>0</v>
      </c>
      <c r="AZ5" t="s">
        <v>1</v>
      </c>
      <c r="BC5" s="3" t="s">
        <v>254</v>
      </c>
      <c r="BD5" t="str">
        <f>CB5&amp;CA5&amp;BIN2HEX(BF5,2)&amp;BZ5</f>
        <v xml:space="preserve"> 0xE0,</v>
      </c>
      <c r="BE5" t="str">
        <f>CB5&amp;BIN2DEC(BF5)&amp;BZ5</f>
        <v>224,</v>
      </c>
      <c r="BF5" t="str">
        <f>BG5&amp;BH5&amp;BI5&amp;BJ5&amp;BK5&amp;BL5&amp;BM5&amp;BN5</f>
        <v>11100000</v>
      </c>
      <c r="BG5">
        <v>1</v>
      </c>
      <c r="BH5">
        <v>1</v>
      </c>
      <c r="BI5">
        <v>1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1</v>
      </c>
      <c r="BQ5">
        <v>1</v>
      </c>
      <c r="BR5">
        <v>1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01110000</v>
      </c>
      <c r="BX5" t="str">
        <f>CB5&amp;BIN2DEC(BW5)&amp;BZ5</f>
        <v>112,</v>
      </c>
      <c r="BY5" t="str">
        <f>CB5&amp;CA5&amp;BIN2HEX(BW5,2)&amp;BZ5</f>
        <v xml:space="preserve"> 0x70,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0x7F,</v>
      </c>
      <c r="C6" t="str">
        <f t="shared" ref="C6:C20" si="1">Z6&amp;BIN2DEC(D6)&amp;X6</f>
        <v>127,</v>
      </c>
      <c r="D6" t="str">
        <f t="shared" ref="D6:D20" si="2">E6&amp;F6&amp;G6&amp;H6&amp;I6&amp;J6&amp;K6&amp;L6</f>
        <v>01111111</v>
      </c>
      <c r="E6">
        <v>0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11100000</v>
      </c>
      <c r="V6" t="str">
        <f t="shared" ref="V6:V20" si="4">Z6&amp;BIN2DEC(U6)&amp;X6</f>
        <v>224,</v>
      </c>
      <c r="W6" t="str">
        <f t="shared" ref="W6:W20" si="5">Z6&amp;Y6&amp;BIN2HEX(U6,2)&amp;X6</f>
        <v xml:space="preserve"> 0xE0,</v>
      </c>
      <c r="X6" t="s">
        <v>0</v>
      </c>
      <c r="Y6" t="s">
        <v>1</v>
      </c>
      <c r="AC6" t="str">
        <f t="shared" ref="AC6:AC20" si="6">BA6&amp;AZ6&amp;BIN2HEX(AE6,2)&amp;AY6</f>
        <v xml:space="preserve"> 0xFF,</v>
      </c>
      <c r="AD6" t="str">
        <f t="shared" ref="AD6:AD20" si="7">BA6&amp;BIN2DEC(AE6)&amp;AY6</f>
        <v>255,</v>
      </c>
      <c r="AE6" t="str">
        <f t="shared" ref="AE6:AE20" si="8">AF6&amp;AG6&amp;AH6&amp;AI6&amp;AJ6&amp;AK6&amp;AL6&amp;AM6</f>
        <v>11111111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11100000</v>
      </c>
      <c r="AW6" t="str">
        <f t="shared" ref="AW6:AW20" si="10">BA6&amp;BIN2DEC(AV6)&amp;AY6</f>
        <v>224,</v>
      </c>
      <c r="AX6" t="str">
        <f t="shared" ref="AX6:AX20" si="11">BA6&amp;AZ6&amp;BIN2HEX(AV6,2)&amp;AY6</f>
        <v xml:space="preserve"> 0xE0,</v>
      </c>
      <c r="AY6" t="s">
        <v>0</v>
      </c>
      <c r="AZ6" t="s">
        <v>1</v>
      </c>
      <c r="BD6" t="str">
        <f t="shared" ref="BD6:BD20" si="12">CB6&amp;CA6&amp;BIN2HEX(BF6,2)&amp;BZ6</f>
        <v xml:space="preserve"> 0xE0,</v>
      </c>
      <c r="BE6" t="str">
        <f t="shared" ref="BE6:BE20" si="13">CB6&amp;BIN2DEC(BF6)&amp;BZ6</f>
        <v>224,</v>
      </c>
      <c r="BF6" t="str">
        <f t="shared" ref="BF6:BF20" si="14">BG6&amp;BH6&amp;BI6&amp;BJ6&amp;BK6&amp;BL6&amp;BM6&amp;BN6</f>
        <v>11100000</v>
      </c>
      <c r="BG6">
        <v>1</v>
      </c>
      <c r="BH6">
        <v>1</v>
      </c>
      <c r="BI6">
        <v>1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1</v>
      </c>
      <c r="BQ6">
        <v>1</v>
      </c>
      <c r="BR6">
        <v>1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01110000</v>
      </c>
      <c r="BX6" t="str">
        <f t="shared" ref="BX6:BX20" si="16">CB6&amp;BIN2DEC(BW6)&amp;BZ6</f>
        <v>112,</v>
      </c>
      <c r="BY6" t="str">
        <f t="shared" ref="BY6:BY20" si="17">CB6&amp;CA6&amp;BIN2HEX(BW6,2)&amp;BZ6</f>
        <v xml:space="preserve"> 0x70,</v>
      </c>
      <c r="BZ6" t="s">
        <v>0</v>
      </c>
      <c r="CA6" t="s">
        <v>1</v>
      </c>
    </row>
    <row r="7" spans="1:80">
      <c r="B7" t="str">
        <f t="shared" si="0"/>
        <v xml:space="preserve"> 0xF0,</v>
      </c>
      <c r="C7" t="str">
        <f t="shared" si="1"/>
        <v>240,</v>
      </c>
      <c r="D7" t="str">
        <f t="shared" si="2"/>
        <v>11110000</v>
      </c>
      <c r="E7">
        <v>1</v>
      </c>
      <c r="F7">
        <v>1</v>
      </c>
      <c r="G7">
        <v>1</v>
      </c>
      <c r="H7">
        <v>1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0</v>
      </c>
      <c r="R7">
        <v>0</v>
      </c>
      <c r="S7">
        <v>0</v>
      </c>
      <c r="T7">
        <v>0</v>
      </c>
      <c r="U7" t="str">
        <f t="shared" si="3"/>
        <v>11110000</v>
      </c>
      <c r="V7" t="str">
        <f t="shared" si="4"/>
        <v>240,</v>
      </c>
      <c r="W7" t="str">
        <f t="shared" si="5"/>
        <v xml:space="preserve"> 0xF0,</v>
      </c>
      <c r="X7" t="s">
        <v>0</v>
      </c>
      <c r="Y7" t="s">
        <v>1</v>
      </c>
      <c r="AC7" t="str">
        <f t="shared" si="6"/>
        <v xml:space="preserve"> 0xEE,</v>
      </c>
      <c r="AD7" t="str">
        <f t="shared" si="7"/>
        <v>238,</v>
      </c>
      <c r="AE7" t="str">
        <f t="shared" si="8"/>
        <v>11101110</v>
      </c>
      <c r="AF7">
        <v>1</v>
      </c>
      <c r="AG7">
        <v>1</v>
      </c>
      <c r="AH7">
        <v>1</v>
      </c>
      <c r="AI7">
        <v>0</v>
      </c>
      <c r="AJ7">
        <v>1</v>
      </c>
      <c r="AK7">
        <v>1</v>
      </c>
      <c r="AL7">
        <v>1</v>
      </c>
      <c r="AM7">
        <v>0</v>
      </c>
      <c r="AN7">
        <v>1</v>
      </c>
      <c r="AO7">
        <v>1</v>
      </c>
      <c r="AP7">
        <v>1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11100000</v>
      </c>
      <c r="AW7" t="str">
        <f t="shared" si="10"/>
        <v>224,</v>
      </c>
      <c r="AX7" t="str">
        <f t="shared" si="11"/>
        <v xml:space="preserve"> 0xE0,</v>
      </c>
      <c r="AY7" t="s">
        <v>0</v>
      </c>
      <c r="AZ7" t="s">
        <v>1</v>
      </c>
      <c r="BD7" t="str">
        <f t="shared" si="12"/>
        <v xml:space="preserve"> 0xE0,</v>
      </c>
      <c r="BE7" t="str">
        <f t="shared" si="13"/>
        <v>224,</v>
      </c>
      <c r="BF7" t="str">
        <f t="shared" si="14"/>
        <v>11100000</v>
      </c>
      <c r="BG7">
        <v>1</v>
      </c>
      <c r="BH7">
        <v>1</v>
      </c>
      <c r="BI7">
        <v>1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1</v>
      </c>
      <c r="BQ7">
        <v>1</v>
      </c>
      <c r="BR7">
        <v>1</v>
      </c>
      <c r="BS7">
        <v>0</v>
      </c>
      <c r="BT7">
        <v>0</v>
      </c>
      <c r="BU7">
        <v>0</v>
      </c>
      <c r="BV7">
        <v>0</v>
      </c>
      <c r="BW7" t="str">
        <f t="shared" si="15"/>
        <v>01110000</v>
      </c>
      <c r="BX7" t="str">
        <f t="shared" si="16"/>
        <v>112,</v>
      </c>
      <c r="BY7" t="str">
        <f t="shared" si="17"/>
        <v xml:space="preserve"> 0x70,</v>
      </c>
      <c r="BZ7" t="s">
        <v>0</v>
      </c>
      <c r="CA7" t="s">
        <v>1</v>
      </c>
    </row>
    <row r="8" spans="1:80">
      <c r="B8" t="str">
        <f t="shared" si="0"/>
        <v xml:space="preserve"> 0xE0,</v>
      </c>
      <c r="C8" t="str">
        <f t="shared" si="1"/>
        <v>224,</v>
      </c>
      <c r="D8" t="str">
        <f t="shared" si="2"/>
        <v>11100000</v>
      </c>
      <c r="E8">
        <v>1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0</v>
      </c>
      <c r="U8" t="str">
        <f t="shared" si="3"/>
        <v>01110000</v>
      </c>
      <c r="V8" t="str">
        <f t="shared" si="4"/>
        <v>112,</v>
      </c>
      <c r="W8" t="str">
        <f t="shared" si="5"/>
        <v xml:space="preserve"> 0x70,</v>
      </c>
      <c r="X8" t="s">
        <v>0</v>
      </c>
      <c r="Y8" t="s">
        <v>1</v>
      </c>
      <c r="AC8" t="str">
        <f t="shared" si="6"/>
        <v xml:space="preserve"> 0x0E,</v>
      </c>
      <c r="AD8" t="str">
        <f t="shared" si="7"/>
        <v>14,</v>
      </c>
      <c r="AE8" t="str">
        <f t="shared" si="8"/>
        <v>00001110</v>
      </c>
      <c r="AF8">
        <v>0</v>
      </c>
      <c r="AG8">
        <v>0</v>
      </c>
      <c r="AH8">
        <v>0</v>
      </c>
      <c r="AI8">
        <v>0</v>
      </c>
      <c r="AJ8">
        <v>1</v>
      </c>
      <c r="AK8">
        <v>1</v>
      </c>
      <c r="AL8">
        <v>1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0xE0,</v>
      </c>
      <c r="BE8" t="str">
        <f t="shared" si="13"/>
        <v>224,</v>
      </c>
      <c r="BF8" t="str">
        <f t="shared" si="14"/>
        <v>11100000</v>
      </c>
      <c r="BG8">
        <v>1</v>
      </c>
      <c r="BH8">
        <v>1</v>
      </c>
      <c r="BI8">
        <v>1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1</v>
      </c>
      <c r="BQ8">
        <v>1</v>
      </c>
      <c r="BR8">
        <v>1</v>
      </c>
      <c r="BS8">
        <v>0</v>
      </c>
      <c r="BT8">
        <v>0</v>
      </c>
      <c r="BU8">
        <v>0</v>
      </c>
      <c r="BV8">
        <v>0</v>
      </c>
      <c r="BW8" t="str">
        <f t="shared" si="15"/>
        <v>01110000</v>
      </c>
      <c r="BX8" t="str">
        <f t="shared" si="16"/>
        <v>112,</v>
      </c>
      <c r="BY8" t="str">
        <f t="shared" si="17"/>
        <v xml:space="preserve"> 0x70,</v>
      </c>
      <c r="BZ8" t="s">
        <v>0</v>
      </c>
      <c r="CA8" t="s">
        <v>1</v>
      </c>
    </row>
    <row r="9" spans="1:80">
      <c r="B9" t="str">
        <f t="shared" si="0"/>
        <v xml:space="preserve"> 0xE0,</v>
      </c>
      <c r="C9" t="str">
        <f t="shared" si="1"/>
        <v>224,</v>
      </c>
      <c r="D9" t="str">
        <f t="shared" si="2"/>
        <v>11100000</v>
      </c>
      <c r="E9">
        <v>1</v>
      </c>
      <c r="F9">
        <v>1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1</v>
      </c>
      <c r="O9">
        <v>1</v>
      </c>
      <c r="P9">
        <v>1</v>
      </c>
      <c r="Q9">
        <v>0</v>
      </c>
      <c r="R9">
        <v>0</v>
      </c>
      <c r="S9">
        <v>0</v>
      </c>
      <c r="T9">
        <v>0</v>
      </c>
      <c r="U9" t="str">
        <f t="shared" si="3"/>
        <v>01110000</v>
      </c>
      <c r="V9" t="str">
        <f t="shared" si="4"/>
        <v>112,</v>
      </c>
      <c r="W9" t="str">
        <f t="shared" si="5"/>
        <v xml:space="preserve"> 0x70,</v>
      </c>
      <c r="X9" t="s">
        <v>0</v>
      </c>
      <c r="Y9" t="s">
        <v>1</v>
      </c>
      <c r="AC9" t="str">
        <f t="shared" si="6"/>
        <v xml:space="preserve"> 0x0E,</v>
      </c>
      <c r="AD9" t="str">
        <f t="shared" si="7"/>
        <v>14,</v>
      </c>
      <c r="AE9" t="str">
        <f t="shared" si="8"/>
        <v>00001110</v>
      </c>
      <c r="AF9">
        <v>0</v>
      </c>
      <c r="AG9">
        <v>0</v>
      </c>
      <c r="AH9">
        <v>0</v>
      </c>
      <c r="AI9">
        <v>0</v>
      </c>
      <c r="AJ9">
        <v>1</v>
      </c>
      <c r="AK9">
        <v>1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0xE0,</v>
      </c>
      <c r="BE9" t="str">
        <f t="shared" si="13"/>
        <v>224,</v>
      </c>
      <c r="BF9" t="str">
        <f t="shared" si="14"/>
        <v>11100000</v>
      </c>
      <c r="BG9">
        <v>1</v>
      </c>
      <c r="BH9">
        <v>1</v>
      </c>
      <c r="BI9">
        <v>1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1</v>
      </c>
      <c r="BQ9">
        <v>1</v>
      </c>
      <c r="BR9">
        <v>1</v>
      </c>
      <c r="BS9">
        <v>0</v>
      </c>
      <c r="BT9">
        <v>0</v>
      </c>
      <c r="BU9">
        <v>0</v>
      </c>
      <c r="BV9">
        <v>0</v>
      </c>
      <c r="BW9" t="str">
        <f t="shared" si="15"/>
        <v>01110000</v>
      </c>
      <c r="BX9" t="str">
        <f t="shared" si="16"/>
        <v>112,</v>
      </c>
      <c r="BY9" t="str">
        <f t="shared" si="17"/>
        <v xml:space="preserve"> 0x70,</v>
      </c>
      <c r="BZ9" t="s">
        <v>0</v>
      </c>
      <c r="CA9" t="s">
        <v>1</v>
      </c>
    </row>
    <row r="10" spans="1:80">
      <c r="B10" t="str">
        <f t="shared" si="0"/>
        <v xml:space="preserve"> 0xE0,</v>
      </c>
      <c r="C10" t="str">
        <f t="shared" si="1"/>
        <v>224,</v>
      </c>
      <c r="D10" t="str">
        <f t="shared" si="2"/>
        <v>11100000</v>
      </c>
      <c r="E10">
        <v>1</v>
      </c>
      <c r="F10">
        <v>1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0x0E,</v>
      </c>
      <c r="AD10" t="str">
        <f t="shared" si="7"/>
        <v>14,</v>
      </c>
      <c r="AE10" t="str">
        <f t="shared" si="8"/>
        <v>00001110</v>
      </c>
      <c r="AF10">
        <v>0</v>
      </c>
      <c r="AG10">
        <v>0</v>
      </c>
      <c r="AH10">
        <v>0</v>
      </c>
      <c r="AI10">
        <v>0</v>
      </c>
      <c r="AJ10">
        <v>1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0xE0,</v>
      </c>
      <c r="BE10" t="str">
        <f t="shared" si="13"/>
        <v>224,</v>
      </c>
      <c r="BF10" t="str">
        <f t="shared" si="14"/>
        <v>11100000</v>
      </c>
      <c r="BG10">
        <v>1</v>
      </c>
      <c r="BH10">
        <v>1</v>
      </c>
      <c r="BI10">
        <v>1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1</v>
      </c>
      <c r="BQ10">
        <v>1</v>
      </c>
      <c r="BR10">
        <v>1</v>
      </c>
      <c r="BS10">
        <v>0</v>
      </c>
      <c r="BT10">
        <v>0</v>
      </c>
      <c r="BU10">
        <v>0</v>
      </c>
      <c r="BV10">
        <v>0</v>
      </c>
      <c r="BW10" t="str">
        <f t="shared" si="15"/>
        <v>01110000</v>
      </c>
      <c r="BX10" t="str">
        <f t="shared" si="16"/>
        <v>112,</v>
      </c>
      <c r="BY10" t="str">
        <f t="shared" si="17"/>
        <v xml:space="preserve"> 0x70,</v>
      </c>
      <c r="BZ10" t="s">
        <v>0</v>
      </c>
      <c r="CA10" t="s">
        <v>1</v>
      </c>
    </row>
    <row r="11" spans="1:80">
      <c r="B11" t="str">
        <f t="shared" si="0"/>
        <v xml:space="preserve"> 0xF0,</v>
      </c>
      <c r="C11" t="str">
        <f t="shared" si="1"/>
        <v>240,</v>
      </c>
      <c r="D11" t="str">
        <f t="shared" si="2"/>
        <v>11110000</v>
      </c>
      <c r="E11">
        <v>1</v>
      </c>
      <c r="F11">
        <v>1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0x0E,</v>
      </c>
      <c r="AD11" t="str">
        <f t="shared" si="7"/>
        <v>14,</v>
      </c>
      <c r="AE11" t="str">
        <f t="shared" si="8"/>
        <v>00001110</v>
      </c>
      <c r="AF11">
        <v>0</v>
      </c>
      <c r="AG11">
        <v>0</v>
      </c>
      <c r="AH11">
        <v>0</v>
      </c>
      <c r="AI11">
        <v>0</v>
      </c>
      <c r="AJ11">
        <v>1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0xE0,</v>
      </c>
      <c r="BE11" t="str">
        <f t="shared" si="13"/>
        <v>224,</v>
      </c>
      <c r="BF11" t="str">
        <f t="shared" si="14"/>
        <v>11100000</v>
      </c>
      <c r="BG11">
        <v>1</v>
      </c>
      <c r="BH11">
        <v>1</v>
      </c>
      <c r="BI11">
        <v>1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1</v>
      </c>
      <c r="BQ11">
        <v>1</v>
      </c>
      <c r="BR11">
        <v>1</v>
      </c>
      <c r="BS11">
        <v>0</v>
      </c>
      <c r="BT11">
        <v>0</v>
      </c>
      <c r="BU11">
        <v>0</v>
      </c>
      <c r="BV11">
        <v>0</v>
      </c>
      <c r="BW11" t="str">
        <f t="shared" si="15"/>
        <v>01110000</v>
      </c>
      <c r="BX11" t="str">
        <f t="shared" si="16"/>
        <v>112,</v>
      </c>
      <c r="BY11" t="str">
        <f t="shared" si="17"/>
        <v xml:space="preserve"> 0x70,</v>
      </c>
      <c r="BZ11" t="s">
        <v>0</v>
      </c>
      <c r="CA11" t="s">
        <v>1</v>
      </c>
    </row>
    <row r="12" spans="1:80">
      <c r="B12" t="str">
        <f t="shared" si="0"/>
        <v xml:space="preserve"> 0x7F,</v>
      </c>
      <c r="C12" t="str">
        <f t="shared" si="1"/>
        <v>127,</v>
      </c>
      <c r="D12" t="str">
        <f t="shared" si="2"/>
        <v>01111111</v>
      </c>
      <c r="E12">
        <v>0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0x0E,</v>
      </c>
      <c r="AD12" t="str">
        <f t="shared" si="7"/>
        <v>14,</v>
      </c>
      <c r="AE12" t="str">
        <f t="shared" si="8"/>
        <v>00001110</v>
      </c>
      <c r="AF12">
        <v>0</v>
      </c>
      <c r="AG12">
        <v>0</v>
      </c>
      <c r="AH12">
        <v>0</v>
      </c>
      <c r="AI12">
        <v>0</v>
      </c>
      <c r="AJ12">
        <v>1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0xE0,</v>
      </c>
      <c r="BE12" t="str">
        <f t="shared" si="13"/>
        <v>224,</v>
      </c>
      <c r="BF12" t="str">
        <f t="shared" si="14"/>
        <v>11100000</v>
      </c>
      <c r="BG12">
        <v>1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1</v>
      </c>
      <c r="BQ12">
        <v>1</v>
      </c>
      <c r="BR12">
        <v>1</v>
      </c>
      <c r="BS12">
        <v>0</v>
      </c>
      <c r="BT12">
        <v>0</v>
      </c>
      <c r="BU12">
        <v>0</v>
      </c>
      <c r="BV12">
        <v>0</v>
      </c>
      <c r="BW12" t="str">
        <f t="shared" si="15"/>
        <v>01110000</v>
      </c>
      <c r="BX12" t="str">
        <f t="shared" si="16"/>
        <v>112,</v>
      </c>
      <c r="BY12" t="str">
        <f t="shared" si="17"/>
        <v xml:space="preserve"> 0x70,</v>
      </c>
      <c r="BZ12" t="s">
        <v>0</v>
      </c>
      <c r="CA12" t="s">
        <v>1</v>
      </c>
    </row>
    <row r="13" spans="1:80">
      <c r="B13" t="str">
        <f t="shared" si="0"/>
        <v xml:space="preserve"> 0x3F,</v>
      </c>
      <c r="C13" t="str">
        <f t="shared" si="1"/>
        <v>63,</v>
      </c>
      <c r="D13" t="str">
        <f t="shared" si="2"/>
        <v>00111111</v>
      </c>
      <c r="E13">
        <v>0</v>
      </c>
      <c r="F13">
        <v>0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11100000</v>
      </c>
      <c r="V13" t="str">
        <f t="shared" si="4"/>
        <v>224,</v>
      </c>
      <c r="W13" t="str">
        <f t="shared" si="5"/>
        <v xml:space="preserve"> 0xE0,</v>
      </c>
      <c r="X13" t="s">
        <v>0</v>
      </c>
      <c r="Y13" t="s">
        <v>1</v>
      </c>
      <c r="AC13" t="str">
        <f t="shared" si="6"/>
        <v xml:space="preserve"> 0x0E,</v>
      </c>
      <c r="AD13" t="str">
        <f t="shared" si="7"/>
        <v>14,</v>
      </c>
      <c r="AE13" t="str">
        <f t="shared" si="8"/>
        <v>00001110</v>
      </c>
      <c r="AF13">
        <v>0</v>
      </c>
      <c r="AG13">
        <v>0</v>
      </c>
      <c r="AH13">
        <v>0</v>
      </c>
      <c r="AI13">
        <v>0</v>
      </c>
      <c r="AJ13">
        <v>1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0xE0,</v>
      </c>
      <c r="BE13" t="str">
        <f t="shared" si="13"/>
        <v>224,</v>
      </c>
      <c r="BF13" t="str">
        <f t="shared" si="14"/>
        <v>11100000</v>
      </c>
      <c r="BG13">
        <v>1</v>
      </c>
      <c r="BH13">
        <v>1</v>
      </c>
      <c r="BI13">
        <v>1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1</v>
      </c>
      <c r="BQ13">
        <v>1</v>
      </c>
      <c r="BR13">
        <v>1</v>
      </c>
      <c r="BS13">
        <v>0</v>
      </c>
      <c r="BT13">
        <v>0</v>
      </c>
      <c r="BU13">
        <v>0</v>
      </c>
      <c r="BV13">
        <v>0</v>
      </c>
      <c r="BW13" t="str">
        <f t="shared" si="15"/>
        <v>01110000</v>
      </c>
      <c r="BX13" t="str">
        <f t="shared" si="16"/>
        <v>112,</v>
      </c>
      <c r="BY13" t="str">
        <f t="shared" si="17"/>
        <v xml:space="preserve"> 0x70,</v>
      </c>
      <c r="BZ13" t="s">
        <v>0</v>
      </c>
      <c r="CA13" t="s">
        <v>1</v>
      </c>
    </row>
    <row r="14" spans="1:80">
      <c r="B14" t="str">
        <f t="shared" si="0"/>
        <v xml:space="preserve"> 0x00,</v>
      </c>
      <c r="C14" t="str">
        <f t="shared" si="1"/>
        <v>0,</v>
      </c>
      <c r="D14" t="str">
        <f t="shared" si="2"/>
        <v>00000000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1</v>
      </c>
      <c r="O14">
        <v>1</v>
      </c>
      <c r="P14">
        <v>1</v>
      </c>
      <c r="Q14">
        <v>0</v>
      </c>
      <c r="R14">
        <v>0</v>
      </c>
      <c r="S14">
        <v>0</v>
      </c>
      <c r="T14">
        <v>0</v>
      </c>
      <c r="U14" t="str">
        <f t="shared" si="3"/>
        <v>11110000</v>
      </c>
      <c r="V14" t="str">
        <f t="shared" si="4"/>
        <v>240,</v>
      </c>
      <c r="W14" t="str">
        <f t="shared" si="5"/>
        <v xml:space="preserve"> 0xF0,</v>
      </c>
      <c r="X14" t="s">
        <v>0</v>
      </c>
      <c r="Y14" t="s">
        <v>1</v>
      </c>
      <c r="AC14" t="str">
        <f t="shared" si="6"/>
        <v xml:space="preserve"> 0x0E,</v>
      </c>
      <c r="AD14" t="str">
        <f t="shared" si="7"/>
        <v>14,</v>
      </c>
      <c r="AE14" t="str">
        <f t="shared" si="8"/>
        <v>00001110</v>
      </c>
      <c r="AF14">
        <v>0</v>
      </c>
      <c r="AG14">
        <v>0</v>
      </c>
      <c r="AH14">
        <v>0</v>
      </c>
      <c r="AI14">
        <v>0</v>
      </c>
      <c r="AJ14">
        <v>1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0xE0,</v>
      </c>
      <c r="BE14" t="str">
        <f t="shared" si="13"/>
        <v>224,</v>
      </c>
      <c r="BF14" t="str">
        <f t="shared" si="14"/>
        <v>11100000</v>
      </c>
      <c r="BG14">
        <v>1</v>
      </c>
      <c r="BH14">
        <v>1</v>
      </c>
      <c r="BI14">
        <v>1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1</v>
      </c>
      <c r="BQ14">
        <v>1</v>
      </c>
      <c r="BR14">
        <v>1</v>
      </c>
      <c r="BS14">
        <v>0</v>
      </c>
      <c r="BT14">
        <v>0</v>
      </c>
      <c r="BU14">
        <v>0</v>
      </c>
      <c r="BV14">
        <v>0</v>
      </c>
      <c r="BW14" t="str">
        <f t="shared" si="15"/>
        <v>01110000</v>
      </c>
      <c r="BX14" t="str">
        <f t="shared" si="16"/>
        <v>112,</v>
      </c>
      <c r="BY14" t="str">
        <f t="shared" si="17"/>
        <v xml:space="preserve"> 0x70,</v>
      </c>
      <c r="BZ14" t="s">
        <v>0</v>
      </c>
      <c r="CA14" t="s">
        <v>1</v>
      </c>
    </row>
    <row r="15" spans="1:80">
      <c r="B15" t="str">
        <f t="shared" si="0"/>
        <v xml:space="preserve"> 0x00,</v>
      </c>
      <c r="C15" t="str">
        <f t="shared" si="1"/>
        <v>0,</v>
      </c>
      <c r="D15" t="str">
        <f t="shared" si="2"/>
        <v>00000000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1</v>
      </c>
      <c r="P15">
        <v>1</v>
      </c>
      <c r="Q15">
        <v>0</v>
      </c>
      <c r="R15">
        <v>0</v>
      </c>
      <c r="S15">
        <v>0</v>
      </c>
      <c r="T15">
        <v>0</v>
      </c>
      <c r="U15" t="str">
        <f t="shared" si="3"/>
        <v>01110000</v>
      </c>
      <c r="V15" t="str">
        <f t="shared" si="4"/>
        <v>112,</v>
      </c>
      <c r="W15" t="str">
        <f t="shared" si="5"/>
        <v xml:space="preserve"> 0x70,</v>
      </c>
      <c r="X15" t="s">
        <v>0</v>
      </c>
      <c r="Y15" t="s">
        <v>1</v>
      </c>
      <c r="AC15" t="str">
        <f t="shared" si="6"/>
        <v xml:space="preserve"> 0x0E,</v>
      </c>
      <c r="AD15" t="str">
        <f t="shared" si="7"/>
        <v>14,</v>
      </c>
      <c r="AE15" t="str">
        <f t="shared" si="8"/>
        <v>00001110</v>
      </c>
      <c r="AF15">
        <v>0</v>
      </c>
      <c r="AG15">
        <v>0</v>
      </c>
      <c r="AH15">
        <v>0</v>
      </c>
      <c r="AI15">
        <v>0</v>
      </c>
      <c r="AJ15">
        <v>1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0xE0,</v>
      </c>
      <c r="BE15" t="str">
        <f t="shared" si="13"/>
        <v>224,</v>
      </c>
      <c r="BF15" t="str">
        <f t="shared" si="14"/>
        <v>11100000</v>
      </c>
      <c r="BG15">
        <v>1</v>
      </c>
      <c r="BH15">
        <v>1</v>
      </c>
      <c r="BI15">
        <v>1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1</v>
      </c>
      <c r="BQ15">
        <v>1</v>
      </c>
      <c r="BR15">
        <v>1</v>
      </c>
      <c r="BS15">
        <v>0</v>
      </c>
      <c r="BT15">
        <v>0</v>
      </c>
      <c r="BU15">
        <v>0</v>
      </c>
      <c r="BV15">
        <v>0</v>
      </c>
      <c r="BW15" t="str">
        <f t="shared" si="15"/>
        <v>01110000</v>
      </c>
      <c r="BX15" t="str">
        <f t="shared" si="16"/>
        <v>112,</v>
      </c>
      <c r="BY15" t="str">
        <f t="shared" si="17"/>
        <v xml:space="preserve"> 0x70,</v>
      </c>
      <c r="BZ15" t="s">
        <v>0</v>
      </c>
      <c r="CA15" t="s">
        <v>1</v>
      </c>
    </row>
    <row r="16" spans="1:80">
      <c r="B16" t="str">
        <f t="shared" si="0"/>
        <v xml:space="preserve"> 0xE0,</v>
      </c>
      <c r="C16" t="str">
        <f t="shared" si="1"/>
        <v>224,</v>
      </c>
      <c r="D16" t="str">
        <f t="shared" si="2"/>
        <v>11100000</v>
      </c>
      <c r="E16">
        <v>1</v>
      </c>
      <c r="F16">
        <v>1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1</v>
      </c>
      <c r="P16">
        <v>1</v>
      </c>
      <c r="Q16">
        <v>0</v>
      </c>
      <c r="R16">
        <v>0</v>
      </c>
      <c r="S16">
        <v>0</v>
      </c>
      <c r="T16">
        <v>0</v>
      </c>
      <c r="U16" t="str">
        <f t="shared" si="3"/>
        <v>01110000</v>
      </c>
      <c r="V16" t="str">
        <f t="shared" si="4"/>
        <v>112,</v>
      </c>
      <c r="W16" t="str">
        <f t="shared" si="5"/>
        <v xml:space="preserve"> 0x70,</v>
      </c>
      <c r="X16" t="s">
        <v>0</v>
      </c>
      <c r="Y16" t="s">
        <v>1</v>
      </c>
      <c r="AC16" t="str">
        <f t="shared" si="6"/>
        <v xml:space="preserve"> 0x0E,</v>
      </c>
      <c r="AD16" t="str">
        <f t="shared" si="7"/>
        <v>14,</v>
      </c>
      <c r="AE16" t="str">
        <f t="shared" si="8"/>
        <v>00001110</v>
      </c>
      <c r="AF16">
        <v>0</v>
      </c>
      <c r="AG16">
        <v>0</v>
      </c>
      <c r="AH16">
        <v>0</v>
      </c>
      <c r="AI16">
        <v>0</v>
      </c>
      <c r="AJ16">
        <v>1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0xE0,</v>
      </c>
      <c r="BE16" t="str">
        <f t="shared" si="13"/>
        <v>224,</v>
      </c>
      <c r="BF16" t="str">
        <f t="shared" si="14"/>
        <v>11100000</v>
      </c>
      <c r="BG16">
        <v>1</v>
      </c>
      <c r="BH16">
        <v>1</v>
      </c>
      <c r="BI16">
        <v>1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1</v>
      </c>
      <c r="BQ16">
        <v>1</v>
      </c>
      <c r="BR16">
        <v>1</v>
      </c>
      <c r="BS16">
        <v>0</v>
      </c>
      <c r="BT16">
        <v>0</v>
      </c>
      <c r="BU16">
        <v>0</v>
      </c>
      <c r="BV16">
        <v>0</v>
      </c>
      <c r="BW16" t="str">
        <f t="shared" si="15"/>
        <v>01110000</v>
      </c>
      <c r="BX16" t="str">
        <f t="shared" si="16"/>
        <v>112,</v>
      </c>
      <c r="BY16" t="str">
        <f t="shared" si="17"/>
        <v xml:space="preserve"> 0x70,</v>
      </c>
      <c r="BZ16" t="s">
        <v>0</v>
      </c>
      <c r="CA16" t="s">
        <v>1</v>
      </c>
    </row>
    <row r="17" spans="1:79">
      <c r="B17" t="str">
        <f t="shared" si="0"/>
        <v xml:space="preserve"> 0xE0,</v>
      </c>
      <c r="C17" t="str">
        <f t="shared" si="1"/>
        <v>224,</v>
      </c>
      <c r="D17" t="str">
        <f t="shared" si="2"/>
        <v>11100000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</v>
      </c>
      <c r="O17">
        <v>1</v>
      </c>
      <c r="P17">
        <v>1</v>
      </c>
      <c r="Q17">
        <v>0</v>
      </c>
      <c r="R17">
        <v>0</v>
      </c>
      <c r="S17">
        <v>0</v>
      </c>
      <c r="T17">
        <v>0</v>
      </c>
      <c r="U17" t="str">
        <f t="shared" si="3"/>
        <v>01110000</v>
      </c>
      <c r="V17" t="str">
        <f t="shared" si="4"/>
        <v>112,</v>
      </c>
      <c r="W17" t="str">
        <f t="shared" si="5"/>
        <v xml:space="preserve"> 0x70,</v>
      </c>
      <c r="X17" t="s">
        <v>0</v>
      </c>
      <c r="Y17" t="s">
        <v>1</v>
      </c>
      <c r="AC17" t="str">
        <f t="shared" si="6"/>
        <v xml:space="preserve"> 0x0E,</v>
      </c>
      <c r="AD17" t="str">
        <f t="shared" si="7"/>
        <v>14,</v>
      </c>
      <c r="AE17" t="str">
        <f t="shared" si="8"/>
        <v>00001110</v>
      </c>
      <c r="AF17">
        <v>0</v>
      </c>
      <c r="AG17">
        <v>0</v>
      </c>
      <c r="AH17">
        <v>0</v>
      </c>
      <c r="AI17">
        <v>0</v>
      </c>
      <c r="AJ17">
        <v>1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0xE0,</v>
      </c>
      <c r="BE17" t="str">
        <f t="shared" si="13"/>
        <v>224,</v>
      </c>
      <c r="BF17" t="str">
        <f t="shared" si="14"/>
        <v>11100000</v>
      </c>
      <c r="BG17">
        <v>1</v>
      </c>
      <c r="BH17">
        <v>1</v>
      </c>
      <c r="BI17">
        <v>1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1</v>
      </c>
      <c r="BQ17">
        <v>1</v>
      </c>
      <c r="BR17">
        <v>1</v>
      </c>
      <c r="BS17">
        <v>0</v>
      </c>
      <c r="BT17">
        <v>0</v>
      </c>
      <c r="BU17">
        <v>0</v>
      </c>
      <c r="BV17">
        <v>0</v>
      </c>
      <c r="BW17" t="str">
        <f t="shared" si="15"/>
        <v>01110000</v>
      </c>
      <c r="BX17" t="str">
        <f t="shared" si="16"/>
        <v>112,</v>
      </c>
      <c r="BY17" t="str">
        <f t="shared" si="17"/>
        <v xml:space="preserve"> 0x70,</v>
      </c>
      <c r="BZ17" t="s">
        <v>0</v>
      </c>
      <c r="CA17" t="s">
        <v>1</v>
      </c>
    </row>
    <row r="18" spans="1:79">
      <c r="B18" t="str">
        <f t="shared" si="0"/>
        <v xml:space="preserve"> 0xF0,</v>
      </c>
      <c r="C18" t="str">
        <f t="shared" si="1"/>
        <v>240,</v>
      </c>
      <c r="D18" t="str">
        <f t="shared" si="2"/>
        <v>11110000</v>
      </c>
      <c r="E18">
        <v>1</v>
      </c>
      <c r="F18">
        <v>1</v>
      </c>
      <c r="G18">
        <v>1</v>
      </c>
      <c r="H18">
        <v>1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0</v>
      </c>
      <c r="T18">
        <v>0</v>
      </c>
      <c r="U18" t="str">
        <f t="shared" si="3"/>
        <v>11110000</v>
      </c>
      <c r="V18" t="str">
        <f t="shared" si="4"/>
        <v>240,</v>
      </c>
      <c r="W18" t="str">
        <f t="shared" si="5"/>
        <v xml:space="preserve"> 0xF0,</v>
      </c>
      <c r="X18" t="s">
        <v>0</v>
      </c>
      <c r="Y18" t="s">
        <v>1</v>
      </c>
      <c r="AC18" t="str">
        <f t="shared" si="6"/>
        <v xml:space="preserve"> 0x0E,</v>
      </c>
      <c r="AD18" t="str">
        <f t="shared" si="7"/>
        <v>14,</v>
      </c>
      <c r="AE18" t="str">
        <f t="shared" si="8"/>
        <v>00001110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0xF0,</v>
      </c>
      <c r="BE18" t="str">
        <f t="shared" si="13"/>
        <v>240,</v>
      </c>
      <c r="BF18" t="str">
        <f t="shared" si="14"/>
        <v>11110000</v>
      </c>
      <c r="BG18">
        <v>1</v>
      </c>
      <c r="BH18">
        <v>1</v>
      </c>
      <c r="BI18">
        <v>1</v>
      </c>
      <c r="BJ18">
        <v>1</v>
      </c>
      <c r="BK18">
        <v>0</v>
      </c>
      <c r="BL18">
        <v>0</v>
      </c>
      <c r="BM18">
        <v>0</v>
      </c>
      <c r="BN18">
        <v>0</v>
      </c>
      <c r="BO18">
        <v>1</v>
      </c>
      <c r="BP18">
        <v>1</v>
      </c>
      <c r="BQ18">
        <v>1</v>
      </c>
      <c r="BR18">
        <v>1</v>
      </c>
      <c r="BS18">
        <v>0</v>
      </c>
      <c r="BT18">
        <v>0</v>
      </c>
      <c r="BU18">
        <v>0</v>
      </c>
      <c r="BV18">
        <v>0</v>
      </c>
      <c r="BW18" t="str">
        <f t="shared" si="15"/>
        <v>11110000</v>
      </c>
      <c r="BX18" t="str">
        <f t="shared" si="16"/>
        <v>240,</v>
      </c>
      <c r="BY18" t="str">
        <f t="shared" si="17"/>
        <v xml:space="preserve"> 0xF0,</v>
      </c>
      <c r="BZ18" t="s">
        <v>0</v>
      </c>
      <c r="CA18" t="s">
        <v>1</v>
      </c>
    </row>
    <row r="19" spans="1:79">
      <c r="B19" t="str">
        <f t="shared" si="0"/>
        <v xml:space="preserve"> 0x7F,</v>
      </c>
      <c r="C19" t="str">
        <f t="shared" si="1"/>
        <v>127,</v>
      </c>
      <c r="D19" t="str">
        <f t="shared" si="2"/>
        <v>01111111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11100000</v>
      </c>
      <c r="V19" t="str">
        <f t="shared" si="4"/>
        <v>224,</v>
      </c>
      <c r="W19" t="str">
        <f t="shared" si="5"/>
        <v xml:space="preserve"> 0xE0,</v>
      </c>
      <c r="X19" t="s">
        <v>0</v>
      </c>
      <c r="Y19" t="s">
        <v>1</v>
      </c>
      <c r="AC19" t="str">
        <f t="shared" si="6"/>
        <v xml:space="preserve"> 0x0E,</v>
      </c>
      <c r="AD19" t="str">
        <f t="shared" si="7"/>
        <v>14,</v>
      </c>
      <c r="AE19" t="str">
        <f t="shared" si="8"/>
        <v>00001110</v>
      </c>
      <c r="AF19">
        <v>0</v>
      </c>
      <c r="AG19">
        <v>0</v>
      </c>
      <c r="AH19">
        <v>0</v>
      </c>
      <c r="AI19">
        <v>0</v>
      </c>
      <c r="AJ19">
        <v>1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0x7F,</v>
      </c>
      <c r="BE19" t="str">
        <f t="shared" si="13"/>
        <v>127,</v>
      </c>
      <c r="BF19" t="str">
        <f t="shared" si="14"/>
        <v>01111111</v>
      </c>
      <c r="BG19">
        <v>0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11100000</v>
      </c>
      <c r="BX19" t="str">
        <f t="shared" si="16"/>
        <v>224,</v>
      </c>
      <c r="BY19" t="str">
        <f t="shared" si="17"/>
        <v xml:space="preserve"> 0xE0,</v>
      </c>
      <c r="BZ19" t="s">
        <v>0</v>
      </c>
      <c r="CA19" t="s">
        <v>1</v>
      </c>
    </row>
    <row r="20" spans="1:79">
      <c r="B20" t="str">
        <f t="shared" si="0"/>
        <v xml:space="preserve"> 0x3F,</v>
      </c>
      <c r="C20" t="str">
        <f t="shared" si="1"/>
        <v>63,</v>
      </c>
      <c r="D20" t="str">
        <f t="shared" si="2"/>
        <v>00111111</v>
      </c>
      <c r="E20">
        <v>0</v>
      </c>
      <c r="F20">
        <v>0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11000000</v>
      </c>
      <c r="V20" t="str">
        <f t="shared" si="4"/>
        <v>192,</v>
      </c>
      <c r="W20" t="str">
        <f t="shared" si="5"/>
        <v xml:space="preserve"> 0xC0,</v>
      </c>
      <c r="X20" t="s">
        <v>0</v>
      </c>
      <c r="Y20" t="s">
        <v>1</v>
      </c>
      <c r="AC20" t="str">
        <f t="shared" si="6"/>
        <v xml:space="preserve"> 0x0E,</v>
      </c>
      <c r="AD20" t="str">
        <f t="shared" si="7"/>
        <v>14,</v>
      </c>
      <c r="AE20" t="str">
        <f t="shared" si="8"/>
        <v>00001110</v>
      </c>
      <c r="AF20">
        <v>0</v>
      </c>
      <c r="AG20">
        <v>0</v>
      </c>
      <c r="AH20">
        <v>0</v>
      </c>
      <c r="AI20">
        <v>0</v>
      </c>
      <c r="AJ20">
        <v>1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0x3F,</v>
      </c>
      <c r="BE20" t="str">
        <f t="shared" si="13"/>
        <v>63,</v>
      </c>
      <c r="BF20" t="str">
        <f t="shared" si="14"/>
        <v>00111111</v>
      </c>
      <c r="BG20">
        <v>0</v>
      </c>
      <c r="BH20">
        <v>0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11000000</v>
      </c>
      <c r="BX20" t="str">
        <f t="shared" si="16"/>
        <v>192,</v>
      </c>
      <c r="BY20" t="str">
        <f t="shared" si="17"/>
        <v xml:space="preserve"> 0xC0,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1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12,</v>
      </c>
      <c r="V22" t="str">
        <f>Y20&amp;DEC2HEX(U22,2)&amp;X20</f>
        <v xml:space="preserve"> 0x0C,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11,</v>
      </c>
      <c r="AW22" t="str">
        <f>AZ20&amp;DEC2HEX(AV22,2)&amp;AY20</f>
        <v xml:space="preserve"> 0x0B,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1</v>
      </c>
      <c r="BR22">
        <f t="shared" si="20"/>
        <v>1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12,</v>
      </c>
      <c r="BX22" t="str">
        <f>CA20&amp;DEC2HEX(BW22,2)&amp;BZ20</f>
        <v xml:space="preserve"> 0x0C,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12,63,192,127,224,240,240,224,112,224,112,224,0,240,0,127,192,63,224,0,240,0,112,224,112,224,112,240,240,127,224,63,192,//S//83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11,255,224,255,224,238,224,14,0,14,0,14,0,14,0,14,0,14,0,14,0,14,0,14,0,14,0,14,0,14,0,14,0,//T//84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12,224,112,224,112,224,112,224,112,224,112,224,112,224,112,224,112,224,112,224,112,224,112,224,112,224,112,240,240,127,224,63,192,//U//85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0x0C, 0x3F, 0xC0, 0x7F, 0xE0, 0xF0, 0xF0, 0xE0, 0x70, 0xE0, 0x70, 0xE0, 0x00, 0xF0, 0x00, 0x7F, 0xC0, 0x3F, 0xE0, 0x00, 0xF0, 0x00, 0x70, 0xE0, 0x70, 0xE0, 0x70, 0xF0, 0xF0, 0x7F, 0xE0, 0x3F, 0xC0,//S//83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0x0B, 0xFF, 0xE0, 0xFF, 0xE0, 0xEE, 0xE0, 0x0E, 0x00, 0x0E, 0x00, 0x0E, 0x00, 0x0E, 0x00, 0x0E, 0x00, 0x0E, 0x00, 0x0E, 0x00, 0x0E, 0x00, 0x0E, 0x00, 0x0E, 0x00, 0x0E, 0x00, 0x0E, 0x00, 0x0E, 0x00,//T//84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0x0C, 0xE0, 0x70, 0xE0, 0x70, 0xE0, 0x70, 0xE0, 0x70, 0xE0, 0x70, 0xE0, 0x70, 0xE0, 0x70, 0xE0, 0x70, 0xE0, 0x70, 0xE0, 0x70, 0xE0, 0x70, 0xE0, 0x70, 0xE0, 0x70, 0xF0, 0xF0, 0x7F, 0xE0, 0x3F, 0xC0,//U//85</v>
      </c>
    </row>
    <row r="28" spans="1:79">
      <c r="A28" s="1" t="str">
        <f>$B$24</f>
        <v>12,63,192,127,224,240,240,224,112,224,112,224,0,240,0,127,192,63,224,0,240,0,112,224,112,224,112,240,240,127,224,63,192,//S//83</v>
      </c>
      <c r="E28" t="s">
        <v>4</v>
      </c>
      <c r="AB28" s="1" t="str">
        <f>$AC$24</f>
        <v>11,255,224,255,224,238,224,14,0,14,0,14,0,14,0,14,0,14,0,14,0,14,0,14,0,14,0,14,0,14,0,14,0,//T//84</v>
      </c>
      <c r="AF28" t="s">
        <v>4</v>
      </c>
      <c r="BC28" s="1" t="str">
        <f>$BD$24</f>
        <v>12,224,112,224,112,224,112,224,112,224,112,224,112,224,112,224,112,224,112,224,112,224,112,224,112,224,112,240,240,127,224,63,192,//U//85</v>
      </c>
      <c r="BG28" t="s">
        <v>4</v>
      </c>
    </row>
    <row r="29" spans="1:79">
      <c r="A29" s="2" t="str">
        <f>$B$25</f>
        <v xml:space="preserve"> 0x0C, 0x3F, 0xC0, 0x7F, 0xE0, 0xF0, 0xF0, 0xE0, 0x70, 0xE0, 0x70, 0xE0, 0x00, 0xF0, 0x00, 0x7F, 0xC0, 0x3F, 0xE0, 0x00, 0xF0, 0x00, 0x70, 0xE0, 0x70, 0xE0, 0x70, 0xF0, 0xF0, 0x7F, 0xE0, 0x3F, 0xC0,//S//83</v>
      </c>
      <c r="E29" t="s">
        <v>3</v>
      </c>
      <c r="AB29" s="2" t="str">
        <f>$AC$25</f>
        <v xml:space="preserve"> 0x0B, 0xFF, 0xE0, 0xFF, 0xE0, 0xEE, 0xE0, 0x0E, 0x00, 0x0E, 0x00, 0x0E, 0x00, 0x0E, 0x00, 0x0E, 0x00, 0x0E, 0x00, 0x0E, 0x00, 0x0E, 0x00, 0x0E, 0x00, 0x0E, 0x00, 0x0E, 0x00, 0x0E, 0x00, 0x0E, 0x00,//T//84</v>
      </c>
      <c r="AF29" t="s">
        <v>3</v>
      </c>
      <c r="BC29" s="2" t="str">
        <f>$BD$25</f>
        <v xml:space="preserve"> 0x0C, 0xE0, 0x70, 0xE0, 0x70, 0xE0, 0x70, 0xE0, 0x70, 0xE0, 0x70, 0xE0, 0x70, 0xE0, 0x70, 0xE0, 0x70, 0xE0, 0x70, 0xE0, 0x70, 0xE0, 0x70, 0xE0, 0x70, 0xE0, 0x70, 0xF0, 0xF0, 0x7F, 0xE0, 0x3F, 0xC0,//U//85</v>
      </c>
      <c r="BG29" t="s">
        <v>3</v>
      </c>
    </row>
  </sheetData>
  <conditionalFormatting sqref="E5:T20">
    <cfRule type="colorScale" priority="5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ellIs" dxfId="43" priority="1" operator="equal">
      <formula>0</formula>
    </cfRule>
    <cfRule type="cellIs" dxfId="42" priority="2" operator="equal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20"/>
  <dimension ref="A4:CB29"/>
  <sheetViews>
    <sheetView workbookViewId="0">
      <selection activeCell="O31" sqref="O31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86</v>
      </c>
      <c r="Z4" t="s">
        <v>5</v>
      </c>
      <c r="AB4" s="3">
        <v>87</v>
      </c>
      <c r="BA4" t="s">
        <v>5</v>
      </c>
      <c r="BC4" s="3">
        <v>88</v>
      </c>
      <c r="CB4" t="s">
        <v>5</v>
      </c>
    </row>
    <row r="5" spans="1:80">
      <c r="A5" s="3" t="s">
        <v>255</v>
      </c>
      <c r="B5" t="str">
        <f>Z5&amp;Y5&amp;BIN2HEX(D5,2)&amp;X5</f>
        <v xml:space="preserve"> 0xE0,</v>
      </c>
      <c r="C5" t="str">
        <f>Z5&amp;BIN2DEC(D5)&amp;X5</f>
        <v>224,</v>
      </c>
      <c r="D5" t="str">
        <f>E5&amp;F5&amp;G5&amp;H5&amp;I5&amp;J5&amp;K5&amp;L5</f>
        <v>11100000</v>
      </c>
      <c r="E5">
        <v>1</v>
      </c>
      <c r="F5">
        <v>1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1</v>
      </c>
      <c r="O5">
        <v>1</v>
      </c>
      <c r="P5">
        <v>1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01110000</v>
      </c>
      <c r="V5" t="str">
        <f>Z5&amp;BIN2DEC(U5)&amp;X5</f>
        <v>112,</v>
      </c>
      <c r="W5" t="str">
        <f>Z5&amp;Y5&amp;BIN2HEX(U5,2)&amp;X5</f>
        <v xml:space="preserve"> 0x70,</v>
      </c>
      <c r="X5" t="s">
        <v>0</v>
      </c>
      <c r="Y5" t="s">
        <v>1</v>
      </c>
      <c r="AB5" s="3" t="s">
        <v>256</v>
      </c>
      <c r="AC5" t="str">
        <f>BA5&amp;AZ5&amp;BIN2HEX(AE5,2)&amp;AY5</f>
        <v xml:space="preserve"> 0xE0,</v>
      </c>
      <c r="AD5" t="str">
        <f>BA5&amp;BIN2DEC(AE5)&amp;AY5</f>
        <v>224,</v>
      </c>
      <c r="AE5" t="str">
        <f>AF5&amp;AG5&amp;AH5&amp;AI5&amp;AJ5&amp;AK5&amp;AL5&amp;AM5</f>
        <v>11100000</v>
      </c>
      <c r="AF5">
        <v>1</v>
      </c>
      <c r="AG5">
        <v>1</v>
      </c>
      <c r="AH5">
        <v>1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1</v>
      </c>
      <c r="AP5">
        <v>1</v>
      </c>
      <c r="AQ5">
        <v>1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01110000</v>
      </c>
      <c r="AW5" t="str">
        <f>BA5&amp;BIN2DEC(AV5)&amp;AY5</f>
        <v>112,</v>
      </c>
      <c r="AX5" t="str">
        <f>BA5&amp;AZ5&amp;BIN2HEX(AV5,2)&amp;AY5</f>
        <v xml:space="preserve"> 0x70,</v>
      </c>
      <c r="AY5" t="s">
        <v>0</v>
      </c>
      <c r="AZ5" t="s">
        <v>1</v>
      </c>
      <c r="BC5" s="3" t="s">
        <v>257</v>
      </c>
      <c r="BD5" t="str">
        <f>CB5&amp;CA5&amp;BIN2HEX(BF5,2)&amp;BZ5</f>
        <v xml:space="preserve"> 0xF9,</v>
      </c>
      <c r="BE5" t="str">
        <f>CB5&amp;BIN2DEC(BF5)&amp;BZ5</f>
        <v>249,</v>
      </c>
      <c r="BF5" t="str">
        <f>BG5&amp;BH5&amp;BI5&amp;BJ5&amp;BK5&amp;BL5&amp;BM5&amp;BN5</f>
        <v>11111001</v>
      </c>
      <c r="BG5">
        <v>1</v>
      </c>
      <c r="BH5">
        <v>1</v>
      </c>
      <c r="BI5">
        <v>1</v>
      </c>
      <c r="BJ5">
        <v>1</v>
      </c>
      <c r="BK5">
        <v>1</v>
      </c>
      <c r="BL5">
        <v>0</v>
      </c>
      <c r="BM5">
        <v>0</v>
      </c>
      <c r="BN5">
        <v>1</v>
      </c>
      <c r="BO5">
        <v>1</v>
      </c>
      <c r="BP5">
        <v>1</v>
      </c>
      <c r="BQ5">
        <v>1</v>
      </c>
      <c r="BR5">
        <v>1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11110000</v>
      </c>
      <c r="BX5" t="str">
        <f>CB5&amp;BIN2DEC(BW5)&amp;BZ5</f>
        <v>240,</v>
      </c>
      <c r="BY5" t="str">
        <f>CB5&amp;CA5&amp;BIN2HEX(BW5,2)&amp;BZ5</f>
        <v xml:space="preserve"> 0xF0,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0xE0,</v>
      </c>
      <c r="C6" t="str">
        <f t="shared" ref="C6:C20" si="1">Z6&amp;BIN2DEC(D6)&amp;X6</f>
        <v>224,</v>
      </c>
      <c r="D6" t="str">
        <f t="shared" ref="D6:D20" si="2">E6&amp;F6&amp;G6&amp;H6&amp;I6&amp;J6&amp;K6&amp;L6</f>
        <v>11100000</v>
      </c>
      <c r="E6">
        <v>1</v>
      </c>
      <c r="F6">
        <v>1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</v>
      </c>
      <c r="O6">
        <v>1</v>
      </c>
      <c r="P6">
        <v>1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01110000</v>
      </c>
      <c r="V6" t="str">
        <f t="shared" ref="V6:V20" si="4">Z6&amp;BIN2DEC(U6)&amp;X6</f>
        <v>112,</v>
      </c>
      <c r="W6" t="str">
        <f t="shared" ref="W6:W20" si="5">Z6&amp;Y6&amp;BIN2HEX(U6,2)&amp;X6</f>
        <v xml:space="preserve"> 0x70,</v>
      </c>
      <c r="X6" t="s">
        <v>0</v>
      </c>
      <c r="Y6" t="s">
        <v>1</v>
      </c>
      <c r="AC6" t="str">
        <f t="shared" ref="AC6:AC20" si="6">BA6&amp;AZ6&amp;BIN2HEX(AE6,2)&amp;AY6</f>
        <v xml:space="preserve"> 0xE0,</v>
      </c>
      <c r="AD6" t="str">
        <f t="shared" ref="AD6:AD20" si="7">BA6&amp;BIN2DEC(AE6)&amp;AY6</f>
        <v>224,</v>
      </c>
      <c r="AE6" t="str">
        <f t="shared" ref="AE6:AE20" si="8">AF6&amp;AG6&amp;AH6&amp;AI6&amp;AJ6&amp;AK6&amp;AL6&amp;AM6</f>
        <v>11100000</v>
      </c>
      <c r="AF6">
        <v>1</v>
      </c>
      <c r="AG6">
        <v>1</v>
      </c>
      <c r="AH6">
        <v>1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1</v>
      </c>
      <c r="AP6">
        <v>1</v>
      </c>
      <c r="AQ6">
        <v>1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01110000</v>
      </c>
      <c r="AW6" t="str">
        <f t="shared" ref="AW6:AW20" si="10">BA6&amp;BIN2DEC(AV6)&amp;AY6</f>
        <v>112,</v>
      </c>
      <c r="AX6" t="str">
        <f t="shared" ref="AX6:AX20" si="11">BA6&amp;AZ6&amp;BIN2HEX(AV6,2)&amp;AY6</f>
        <v xml:space="preserve"> 0x70,</v>
      </c>
      <c r="AY6" t="s">
        <v>0</v>
      </c>
      <c r="AZ6" t="s">
        <v>1</v>
      </c>
      <c r="BD6" t="str">
        <f t="shared" ref="BD6:BD20" si="12">CB6&amp;CA6&amp;BIN2HEX(BF6,2)&amp;BZ6</f>
        <v xml:space="preserve"> 0xF9,</v>
      </c>
      <c r="BE6" t="str">
        <f t="shared" ref="BE6:BE20" si="13">CB6&amp;BIN2DEC(BF6)&amp;BZ6</f>
        <v>249,</v>
      </c>
      <c r="BF6" t="str">
        <f t="shared" ref="BF6:BF20" si="14">BG6&amp;BH6&amp;BI6&amp;BJ6&amp;BK6&amp;BL6&amp;BM6&amp;BN6</f>
        <v>11111001</v>
      </c>
      <c r="BG6">
        <v>1</v>
      </c>
      <c r="BH6">
        <v>1</v>
      </c>
      <c r="BI6">
        <v>1</v>
      </c>
      <c r="BJ6">
        <v>1</v>
      </c>
      <c r="BK6">
        <v>1</v>
      </c>
      <c r="BL6">
        <v>0</v>
      </c>
      <c r="BM6">
        <v>0</v>
      </c>
      <c r="BN6">
        <v>1</v>
      </c>
      <c r="BO6">
        <v>1</v>
      </c>
      <c r="BP6">
        <v>1</v>
      </c>
      <c r="BQ6">
        <v>1</v>
      </c>
      <c r="BR6">
        <v>1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11110000</v>
      </c>
      <c r="BX6" t="str">
        <f t="shared" ref="BX6:BX20" si="16">CB6&amp;BIN2DEC(BW6)&amp;BZ6</f>
        <v>240,</v>
      </c>
      <c r="BY6" t="str">
        <f t="shared" ref="BY6:BY20" si="17">CB6&amp;CA6&amp;BIN2HEX(BW6,2)&amp;BZ6</f>
        <v xml:space="preserve"> 0xF0,</v>
      </c>
      <c r="BZ6" t="s">
        <v>0</v>
      </c>
      <c r="CA6" t="s">
        <v>1</v>
      </c>
    </row>
    <row r="7" spans="1:80">
      <c r="B7" t="str">
        <f t="shared" si="0"/>
        <v xml:space="preserve"> 0xE0,</v>
      </c>
      <c r="C7" t="str">
        <f t="shared" si="1"/>
        <v>224,</v>
      </c>
      <c r="D7" t="str">
        <f t="shared" si="2"/>
        <v>11100000</v>
      </c>
      <c r="E7">
        <v>1</v>
      </c>
      <c r="F7">
        <v>1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</v>
      </c>
      <c r="O7">
        <v>1</v>
      </c>
      <c r="P7">
        <v>1</v>
      </c>
      <c r="Q7">
        <v>0</v>
      </c>
      <c r="R7">
        <v>0</v>
      </c>
      <c r="S7">
        <v>0</v>
      </c>
      <c r="T7">
        <v>0</v>
      </c>
      <c r="U7" t="str">
        <f t="shared" si="3"/>
        <v>01110000</v>
      </c>
      <c r="V7" t="str">
        <f t="shared" si="4"/>
        <v>112,</v>
      </c>
      <c r="W7" t="str">
        <f t="shared" si="5"/>
        <v xml:space="preserve"> 0x70,</v>
      </c>
      <c r="X7" t="s">
        <v>0</v>
      </c>
      <c r="Y7" t="s">
        <v>1</v>
      </c>
      <c r="AC7" t="str">
        <f t="shared" si="6"/>
        <v xml:space="preserve"> 0xE0,</v>
      </c>
      <c r="AD7" t="str">
        <f t="shared" si="7"/>
        <v>224,</v>
      </c>
      <c r="AE7" t="str">
        <f t="shared" si="8"/>
        <v>11100000</v>
      </c>
      <c r="AF7">
        <v>1</v>
      </c>
      <c r="AG7">
        <v>1</v>
      </c>
      <c r="AH7">
        <v>1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1</v>
      </c>
      <c r="AP7">
        <v>1</v>
      </c>
      <c r="AQ7">
        <v>1</v>
      </c>
      <c r="AR7">
        <v>0</v>
      </c>
      <c r="AS7">
        <v>0</v>
      </c>
      <c r="AT7">
        <v>0</v>
      </c>
      <c r="AU7">
        <v>0</v>
      </c>
      <c r="AV7" t="str">
        <f t="shared" si="9"/>
        <v>01110000</v>
      </c>
      <c r="AW7" t="str">
        <f t="shared" si="10"/>
        <v>112,</v>
      </c>
      <c r="AX7" t="str">
        <f t="shared" si="11"/>
        <v xml:space="preserve"> 0x70,</v>
      </c>
      <c r="AY7" t="s">
        <v>0</v>
      </c>
      <c r="AZ7" t="s">
        <v>1</v>
      </c>
      <c r="BD7" t="str">
        <f t="shared" si="12"/>
        <v xml:space="preserve"> 0x70,</v>
      </c>
      <c r="BE7" t="str">
        <f t="shared" si="13"/>
        <v>112,</v>
      </c>
      <c r="BF7" t="str">
        <f t="shared" si="14"/>
        <v>01110000</v>
      </c>
      <c r="BG7">
        <v>0</v>
      </c>
      <c r="BH7">
        <v>1</v>
      </c>
      <c r="BI7">
        <v>1</v>
      </c>
      <c r="BJ7">
        <v>1</v>
      </c>
      <c r="BK7">
        <v>0</v>
      </c>
      <c r="BL7">
        <v>0</v>
      </c>
      <c r="BM7">
        <v>0</v>
      </c>
      <c r="BN7">
        <v>0</v>
      </c>
      <c r="BO7">
        <v>1</v>
      </c>
      <c r="BP7">
        <v>1</v>
      </c>
      <c r="BQ7">
        <v>1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11100000</v>
      </c>
      <c r="BX7" t="str">
        <f t="shared" si="16"/>
        <v>224,</v>
      </c>
      <c r="BY7" t="str">
        <f t="shared" si="17"/>
        <v xml:space="preserve"> 0xE0,</v>
      </c>
      <c r="BZ7" t="s">
        <v>0</v>
      </c>
      <c r="CA7" t="s">
        <v>1</v>
      </c>
    </row>
    <row r="8" spans="1:80">
      <c r="B8" t="str">
        <f t="shared" si="0"/>
        <v xml:space="preserve"> 0xE0,</v>
      </c>
      <c r="C8" t="str">
        <f t="shared" si="1"/>
        <v>224,</v>
      </c>
      <c r="D8" t="str">
        <f t="shared" si="2"/>
        <v>11100000</v>
      </c>
      <c r="E8">
        <v>1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0</v>
      </c>
      <c r="U8" t="str">
        <f t="shared" si="3"/>
        <v>01110000</v>
      </c>
      <c r="V8" t="str">
        <f t="shared" si="4"/>
        <v>112,</v>
      </c>
      <c r="W8" t="str">
        <f t="shared" si="5"/>
        <v xml:space="preserve"> 0x70,</v>
      </c>
      <c r="X8" t="s">
        <v>0</v>
      </c>
      <c r="Y8" t="s">
        <v>1</v>
      </c>
      <c r="AC8" t="str">
        <f t="shared" si="6"/>
        <v xml:space="preserve"> 0xE0,</v>
      </c>
      <c r="AD8" t="str">
        <f t="shared" si="7"/>
        <v>224,</v>
      </c>
      <c r="AE8" t="str">
        <f t="shared" si="8"/>
        <v>11100000</v>
      </c>
      <c r="AF8">
        <v>1</v>
      </c>
      <c r="AG8">
        <v>1</v>
      </c>
      <c r="AH8">
        <v>1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1</v>
      </c>
      <c r="AP8">
        <v>1</v>
      </c>
      <c r="AQ8">
        <v>1</v>
      </c>
      <c r="AR8">
        <v>0</v>
      </c>
      <c r="AS8">
        <v>0</v>
      </c>
      <c r="AT8">
        <v>0</v>
      </c>
      <c r="AU8">
        <v>0</v>
      </c>
      <c r="AV8" t="str">
        <f t="shared" si="9"/>
        <v>01110000</v>
      </c>
      <c r="AW8" t="str">
        <f t="shared" si="10"/>
        <v>112,</v>
      </c>
      <c r="AX8" t="str">
        <f t="shared" si="11"/>
        <v xml:space="preserve"> 0x70,</v>
      </c>
      <c r="AY8" t="s">
        <v>0</v>
      </c>
      <c r="AZ8" t="s">
        <v>1</v>
      </c>
      <c r="BD8" t="str">
        <f t="shared" si="12"/>
        <v xml:space="preserve"> 0x70,</v>
      </c>
      <c r="BE8" t="str">
        <f t="shared" si="13"/>
        <v>112,</v>
      </c>
      <c r="BF8" t="str">
        <f t="shared" si="14"/>
        <v>01110000</v>
      </c>
      <c r="BG8">
        <v>0</v>
      </c>
      <c r="BH8">
        <v>1</v>
      </c>
      <c r="BI8">
        <v>1</v>
      </c>
      <c r="BJ8">
        <v>1</v>
      </c>
      <c r="BK8">
        <v>0</v>
      </c>
      <c r="BL8">
        <v>0</v>
      </c>
      <c r="BM8">
        <v>0</v>
      </c>
      <c r="BN8">
        <v>0</v>
      </c>
      <c r="BO8">
        <v>1</v>
      </c>
      <c r="BP8">
        <v>1</v>
      </c>
      <c r="BQ8">
        <v>1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11100000</v>
      </c>
      <c r="BX8" t="str">
        <f t="shared" si="16"/>
        <v>224,</v>
      </c>
      <c r="BY8" t="str">
        <f t="shared" si="17"/>
        <v xml:space="preserve"> 0xE0,</v>
      </c>
      <c r="BZ8" t="s">
        <v>0</v>
      </c>
      <c r="CA8" t="s">
        <v>1</v>
      </c>
    </row>
    <row r="9" spans="1:80">
      <c r="B9" t="str">
        <f t="shared" si="0"/>
        <v xml:space="preserve"> 0xE0,</v>
      </c>
      <c r="C9" t="str">
        <f t="shared" si="1"/>
        <v>224,</v>
      </c>
      <c r="D9" t="str">
        <f t="shared" si="2"/>
        <v>11100000</v>
      </c>
      <c r="E9">
        <v>1</v>
      </c>
      <c r="F9">
        <v>1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1</v>
      </c>
      <c r="O9">
        <v>1</v>
      </c>
      <c r="P9">
        <v>1</v>
      </c>
      <c r="Q9">
        <v>0</v>
      </c>
      <c r="R9">
        <v>0</v>
      </c>
      <c r="S9">
        <v>0</v>
      </c>
      <c r="T9">
        <v>0</v>
      </c>
      <c r="U9" t="str">
        <f t="shared" si="3"/>
        <v>01110000</v>
      </c>
      <c r="V9" t="str">
        <f t="shared" si="4"/>
        <v>112,</v>
      </c>
      <c r="W9" t="str">
        <f t="shared" si="5"/>
        <v xml:space="preserve"> 0x70,</v>
      </c>
      <c r="X9" t="s">
        <v>0</v>
      </c>
      <c r="Y9" t="s">
        <v>1</v>
      </c>
      <c r="AC9" t="str">
        <f t="shared" si="6"/>
        <v xml:space="preserve"> 0xE0,</v>
      </c>
      <c r="AD9" t="str">
        <f t="shared" si="7"/>
        <v>224,</v>
      </c>
      <c r="AE9" t="str">
        <f t="shared" si="8"/>
        <v>11100000</v>
      </c>
      <c r="AF9">
        <v>1</v>
      </c>
      <c r="AG9">
        <v>1</v>
      </c>
      <c r="AH9">
        <v>1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1</v>
      </c>
      <c r="AP9">
        <v>1</v>
      </c>
      <c r="AQ9">
        <v>1</v>
      </c>
      <c r="AR9">
        <v>0</v>
      </c>
      <c r="AS9">
        <v>0</v>
      </c>
      <c r="AT9">
        <v>0</v>
      </c>
      <c r="AU9">
        <v>0</v>
      </c>
      <c r="AV9" t="str">
        <f t="shared" si="9"/>
        <v>01110000</v>
      </c>
      <c r="AW9" t="str">
        <f t="shared" si="10"/>
        <v>112,</v>
      </c>
      <c r="AX9" t="str">
        <f t="shared" si="11"/>
        <v xml:space="preserve"> 0x70,</v>
      </c>
      <c r="AY9" t="s">
        <v>0</v>
      </c>
      <c r="AZ9" t="s">
        <v>1</v>
      </c>
      <c r="BD9" t="str">
        <f t="shared" si="12"/>
        <v xml:space="preserve"> 0x39,</v>
      </c>
      <c r="BE9" t="str">
        <f t="shared" si="13"/>
        <v>57,</v>
      </c>
      <c r="BF9" t="str">
        <f t="shared" si="14"/>
        <v>00111001</v>
      </c>
      <c r="BG9">
        <v>0</v>
      </c>
      <c r="BH9">
        <v>0</v>
      </c>
      <c r="BI9">
        <v>1</v>
      </c>
      <c r="BJ9">
        <v>1</v>
      </c>
      <c r="BK9">
        <v>1</v>
      </c>
      <c r="BL9">
        <v>0</v>
      </c>
      <c r="BM9">
        <v>0</v>
      </c>
      <c r="BN9">
        <v>1</v>
      </c>
      <c r="BO9">
        <v>1</v>
      </c>
      <c r="BP9">
        <v>1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11000000</v>
      </c>
      <c r="BX9" t="str">
        <f t="shared" si="16"/>
        <v>192,</v>
      </c>
      <c r="BY9" t="str">
        <f t="shared" si="17"/>
        <v xml:space="preserve"> 0xC0,</v>
      </c>
      <c r="BZ9" t="s">
        <v>0</v>
      </c>
      <c r="CA9" t="s">
        <v>1</v>
      </c>
    </row>
    <row r="10" spans="1:80">
      <c r="B10" t="str">
        <f t="shared" si="0"/>
        <v xml:space="preserve"> 0xE0,</v>
      </c>
      <c r="C10" t="str">
        <f t="shared" si="1"/>
        <v>224,</v>
      </c>
      <c r="D10" t="str">
        <f t="shared" si="2"/>
        <v>11100000</v>
      </c>
      <c r="E10">
        <v>1</v>
      </c>
      <c r="F10">
        <v>1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</v>
      </c>
      <c r="O10">
        <v>1</v>
      </c>
      <c r="P10">
        <v>1</v>
      </c>
      <c r="Q10">
        <v>0</v>
      </c>
      <c r="R10">
        <v>0</v>
      </c>
      <c r="S10">
        <v>0</v>
      </c>
      <c r="T10">
        <v>0</v>
      </c>
      <c r="U10" t="str">
        <f t="shared" si="3"/>
        <v>01110000</v>
      </c>
      <c r="V10" t="str">
        <f t="shared" si="4"/>
        <v>112,</v>
      </c>
      <c r="W10" t="str">
        <f t="shared" si="5"/>
        <v xml:space="preserve"> 0x70,</v>
      </c>
      <c r="X10" t="s">
        <v>0</v>
      </c>
      <c r="Y10" t="s">
        <v>1</v>
      </c>
      <c r="AC10" t="str">
        <f t="shared" si="6"/>
        <v xml:space="preserve"> 0xE0,</v>
      </c>
      <c r="AD10" t="str">
        <f t="shared" si="7"/>
        <v>224,</v>
      </c>
      <c r="AE10" t="str">
        <f t="shared" si="8"/>
        <v>11100000</v>
      </c>
      <c r="AF10">
        <v>1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1</v>
      </c>
      <c r="AP10">
        <v>1</v>
      </c>
      <c r="AQ10">
        <v>1</v>
      </c>
      <c r="AR10">
        <v>0</v>
      </c>
      <c r="AS10">
        <v>0</v>
      </c>
      <c r="AT10">
        <v>0</v>
      </c>
      <c r="AU10">
        <v>0</v>
      </c>
      <c r="AV10" t="str">
        <f t="shared" si="9"/>
        <v>01110000</v>
      </c>
      <c r="AW10" t="str">
        <f t="shared" si="10"/>
        <v>112,</v>
      </c>
      <c r="AX10" t="str">
        <f t="shared" si="11"/>
        <v xml:space="preserve"> 0x70,</v>
      </c>
      <c r="AY10" t="s">
        <v>0</v>
      </c>
      <c r="AZ10" t="s">
        <v>1</v>
      </c>
      <c r="BD10" t="str">
        <f t="shared" si="12"/>
        <v xml:space="preserve"> 0x39,</v>
      </c>
      <c r="BE10" t="str">
        <f t="shared" si="13"/>
        <v>57,</v>
      </c>
      <c r="BF10" t="str">
        <f t="shared" si="14"/>
        <v>00111001</v>
      </c>
      <c r="BG10">
        <v>0</v>
      </c>
      <c r="BH10">
        <v>0</v>
      </c>
      <c r="BI10">
        <v>1</v>
      </c>
      <c r="BJ10">
        <v>1</v>
      </c>
      <c r="BK10">
        <v>1</v>
      </c>
      <c r="BL10">
        <v>0</v>
      </c>
      <c r="BM10">
        <v>0</v>
      </c>
      <c r="BN10">
        <v>1</v>
      </c>
      <c r="BO10">
        <v>1</v>
      </c>
      <c r="BP10">
        <v>1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11000000</v>
      </c>
      <c r="BX10" t="str">
        <f t="shared" si="16"/>
        <v>192,</v>
      </c>
      <c r="BY10" t="str">
        <f t="shared" si="17"/>
        <v xml:space="preserve"> 0xC0,</v>
      </c>
      <c r="BZ10" t="s">
        <v>0</v>
      </c>
      <c r="CA10" t="s">
        <v>1</v>
      </c>
    </row>
    <row r="11" spans="1:80">
      <c r="B11" t="str">
        <f t="shared" si="0"/>
        <v xml:space="preserve"> 0xE0,</v>
      </c>
      <c r="C11" t="str">
        <f t="shared" si="1"/>
        <v>224,</v>
      </c>
      <c r="D11" t="str">
        <f t="shared" si="2"/>
        <v>11100000</v>
      </c>
      <c r="E11">
        <v>1</v>
      </c>
      <c r="F11">
        <v>1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1</v>
      </c>
      <c r="O11">
        <v>1</v>
      </c>
      <c r="P11">
        <v>1</v>
      </c>
      <c r="Q11">
        <v>0</v>
      </c>
      <c r="R11">
        <v>0</v>
      </c>
      <c r="S11">
        <v>0</v>
      </c>
      <c r="T11">
        <v>0</v>
      </c>
      <c r="U11" t="str">
        <f t="shared" si="3"/>
        <v>01110000</v>
      </c>
      <c r="V11" t="str">
        <f t="shared" si="4"/>
        <v>112,</v>
      </c>
      <c r="W11" t="str">
        <f t="shared" si="5"/>
        <v xml:space="preserve"> 0x70,</v>
      </c>
      <c r="X11" t="s">
        <v>0</v>
      </c>
      <c r="Y11" t="s">
        <v>1</v>
      </c>
      <c r="AC11" t="str">
        <f t="shared" si="6"/>
        <v xml:space="preserve"> 0xE0,</v>
      </c>
      <c r="AD11" t="str">
        <f t="shared" si="7"/>
        <v>224,</v>
      </c>
      <c r="AE11" t="str">
        <f t="shared" si="8"/>
        <v>11100000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1</v>
      </c>
      <c r="AP11">
        <v>1</v>
      </c>
      <c r="AQ11">
        <v>1</v>
      </c>
      <c r="AR11">
        <v>0</v>
      </c>
      <c r="AS11">
        <v>0</v>
      </c>
      <c r="AT11">
        <v>0</v>
      </c>
      <c r="AU11">
        <v>0</v>
      </c>
      <c r="AV11" t="str">
        <f t="shared" si="9"/>
        <v>01110000</v>
      </c>
      <c r="AW11" t="str">
        <f t="shared" si="10"/>
        <v>112,</v>
      </c>
      <c r="AX11" t="str">
        <f t="shared" si="11"/>
        <v xml:space="preserve"> 0x70,</v>
      </c>
      <c r="AY11" t="s">
        <v>0</v>
      </c>
      <c r="AZ11" t="s">
        <v>1</v>
      </c>
      <c r="BD11" t="str">
        <f t="shared" si="12"/>
        <v xml:space="preserve"> 0x1F,</v>
      </c>
      <c r="BE11" t="str">
        <f t="shared" si="13"/>
        <v>31,</v>
      </c>
      <c r="BF11" t="str">
        <f t="shared" si="14"/>
        <v>00011111</v>
      </c>
      <c r="BG11">
        <v>0</v>
      </c>
      <c r="BH11">
        <v>0</v>
      </c>
      <c r="BI11">
        <v>0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10000000</v>
      </c>
      <c r="BX11" t="str">
        <f t="shared" si="16"/>
        <v>128,</v>
      </c>
      <c r="BY11" t="str">
        <f t="shared" si="17"/>
        <v xml:space="preserve"> 0x80,</v>
      </c>
      <c r="BZ11" t="s">
        <v>0</v>
      </c>
      <c r="CA11" t="s">
        <v>1</v>
      </c>
    </row>
    <row r="12" spans="1:80">
      <c r="B12" t="str">
        <f t="shared" si="0"/>
        <v xml:space="preserve"> 0x70,</v>
      </c>
      <c r="C12" t="str">
        <f t="shared" si="1"/>
        <v>112,</v>
      </c>
      <c r="D12" t="str">
        <f t="shared" si="2"/>
        <v>01110000</v>
      </c>
      <c r="E12">
        <v>0</v>
      </c>
      <c r="F12">
        <v>1</v>
      </c>
      <c r="G12">
        <v>1</v>
      </c>
      <c r="H12">
        <v>1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11100000</v>
      </c>
      <c r="V12" t="str">
        <f t="shared" si="4"/>
        <v>224,</v>
      </c>
      <c r="W12" t="str">
        <f t="shared" si="5"/>
        <v xml:space="preserve"> 0xE0,</v>
      </c>
      <c r="X12" t="s">
        <v>0</v>
      </c>
      <c r="Y12" t="s">
        <v>1</v>
      </c>
      <c r="AC12" t="str">
        <f t="shared" si="6"/>
        <v xml:space="preserve"> 0xE6,</v>
      </c>
      <c r="AD12" t="str">
        <f t="shared" si="7"/>
        <v>230,</v>
      </c>
      <c r="AE12" t="str">
        <f t="shared" si="8"/>
        <v>11100110</v>
      </c>
      <c r="AF12">
        <v>1</v>
      </c>
      <c r="AG12">
        <v>1</v>
      </c>
      <c r="AH12">
        <v>1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1</v>
      </c>
      <c r="AP12">
        <v>1</v>
      </c>
      <c r="AQ12">
        <v>1</v>
      </c>
      <c r="AR12">
        <v>0</v>
      </c>
      <c r="AS12">
        <v>0</v>
      </c>
      <c r="AT12">
        <v>0</v>
      </c>
      <c r="AU12">
        <v>0</v>
      </c>
      <c r="AV12" t="str">
        <f t="shared" si="9"/>
        <v>01110000</v>
      </c>
      <c r="AW12" t="str">
        <f t="shared" si="10"/>
        <v>112,</v>
      </c>
      <c r="AX12" t="str">
        <f t="shared" si="11"/>
        <v xml:space="preserve"> 0x70,</v>
      </c>
      <c r="AY12" t="s">
        <v>0</v>
      </c>
      <c r="AZ12" t="s">
        <v>1</v>
      </c>
      <c r="BD12" t="str">
        <f t="shared" si="12"/>
        <v xml:space="preserve"> 0x0F,</v>
      </c>
      <c r="BE12" t="str">
        <f t="shared" si="13"/>
        <v>15,</v>
      </c>
      <c r="BF12" t="str">
        <f t="shared" si="14"/>
        <v>00001111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1</v>
      </c>
      <c r="BM12">
        <v>1</v>
      </c>
      <c r="BN12">
        <v>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0x70,</v>
      </c>
      <c r="C13" t="str">
        <f t="shared" si="1"/>
        <v>112,</v>
      </c>
      <c r="D13" t="str">
        <f t="shared" si="2"/>
        <v>01110000</v>
      </c>
      <c r="E13">
        <v>0</v>
      </c>
      <c r="F13">
        <v>1</v>
      </c>
      <c r="G13">
        <v>1</v>
      </c>
      <c r="H13">
        <v>1</v>
      </c>
      <c r="I13">
        <v>0</v>
      </c>
      <c r="J13">
        <v>0</v>
      </c>
      <c r="K13">
        <v>0</v>
      </c>
      <c r="L13">
        <v>0</v>
      </c>
      <c r="M13">
        <v>1</v>
      </c>
      <c r="N13">
        <v>1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11100000</v>
      </c>
      <c r="V13" t="str">
        <f t="shared" si="4"/>
        <v>224,</v>
      </c>
      <c r="W13" t="str">
        <f t="shared" si="5"/>
        <v xml:space="preserve"> 0xE0,</v>
      </c>
      <c r="X13" t="s">
        <v>0</v>
      </c>
      <c r="Y13" t="s">
        <v>1</v>
      </c>
      <c r="AC13" t="str">
        <f t="shared" si="6"/>
        <v xml:space="preserve"> 0xE6,</v>
      </c>
      <c r="AD13" t="str">
        <f t="shared" si="7"/>
        <v>230,</v>
      </c>
      <c r="AE13" t="str">
        <f t="shared" si="8"/>
        <v>11100110</v>
      </c>
      <c r="AF13">
        <v>1</v>
      </c>
      <c r="AG13">
        <v>1</v>
      </c>
      <c r="AH13">
        <v>1</v>
      </c>
      <c r="AI13">
        <v>0</v>
      </c>
      <c r="AJ13">
        <v>0</v>
      </c>
      <c r="AK13">
        <v>1</v>
      </c>
      <c r="AL13">
        <v>1</v>
      </c>
      <c r="AM13">
        <v>0</v>
      </c>
      <c r="AN13">
        <v>0</v>
      </c>
      <c r="AO13">
        <v>1</v>
      </c>
      <c r="AP13">
        <v>1</v>
      </c>
      <c r="AQ13">
        <v>1</v>
      </c>
      <c r="AR13">
        <v>0</v>
      </c>
      <c r="AS13">
        <v>0</v>
      </c>
      <c r="AT13">
        <v>0</v>
      </c>
      <c r="AU13">
        <v>0</v>
      </c>
      <c r="AV13" t="str">
        <f t="shared" si="9"/>
        <v>01110000</v>
      </c>
      <c r="AW13" t="str">
        <f t="shared" si="10"/>
        <v>112,</v>
      </c>
      <c r="AX13" t="str">
        <f t="shared" si="11"/>
        <v xml:space="preserve"> 0x70,</v>
      </c>
      <c r="AY13" t="s">
        <v>0</v>
      </c>
      <c r="AZ13" t="s">
        <v>1</v>
      </c>
      <c r="BD13" t="str">
        <f t="shared" si="12"/>
        <v xml:space="preserve"> 0x0F,</v>
      </c>
      <c r="BE13" t="str">
        <f t="shared" si="13"/>
        <v>15,</v>
      </c>
      <c r="BF13" t="str">
        <f t="shared" si="14"/>
        <v>00001111</v>
      </c>
      <c r="BG13">
        <v>0</v>
      </c>
      <c r="BH13">
        <v>0</v>
      </c>
      <c r="BI13">
        <v>0</v>
      </c>
      <c r="BJ13">
        <v>0</v>
      </c>
      <c r="BK13">
        <v>1</v>
      </c>
      <c r="BL13">
        <v>1</v>
      </c>
      <c r="BM13">
        <v>1</v>
      </c>
      <c r="BN13">
        <v>1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0x39,</v>
      </c>
      <c r="C14" t="str">
        <f t="shared" si="1"/>
        <v>57,</v>
      </c>
      <c r="D14" t="str">
        <f t="shared" si="2"/>
        <v>00111001</v>
      </c>
      <c r="E14">
        <v>0</v>
      </c>
      <c r="F14">
        <v>0</v>
      </c>
      <c r="G14">
        <v>1</v>
      </c>
      <c r="H14">
        <v>1</v>
      </c>
      <c r="I14">
        <v>1</v>
      </c>
      <c r="J14">
        <v>0</v>
      </c>
      <c r="K14">
        <v>0</v>
      </c>
      <c r="L14">
        <v>1</v>
      </c>
      <c r="M14">
        <v>1</v>
      </c>
      <c r="N14">
        <v>1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11000000</v>
      </c>
      <c r="V14" t="str">
        <f t="shared" si="4"/>
        <v>192,</v>
      </c>
      <c r="W14" t="str">
        <f t="shared" si="5"/>
        <v xml:space="preserve"> 0xC0,</v>
      </c>
      <c r="X14" t="s">
        <v>0</v>
      </c>
      <c r="Y14" t="s">
        <v>1</v>
      </c>
      <c r="AC14" t="str">
        <f t="shared" si="6"/>
        <v xml:space="preserve"> 0xEF,</v>
      </c>
      <c r="AD14" t="str">
        <f t="shared" si="7"/>
        <v>239,</v>
      </c>
      <c r="AE14" t="str">
        <f t="shared" si="8"/>
        <v>11101111</v>
      </c>
      <c r="AF14">
        <v>1</v>
      </c>
      <c r="AG14">
        <v>1</v>
      </c>
      <c r="AH14">
        <v>1</v>
      </c>
      <c r="AI14">
        <v>0</v>
      </c>
      <c r="AJ14">
        <v>1</v>
      </c>
      <c r="AK14">
        <v>1</v>
      </c>
      <c r="AL14">
        <v>1</v>
      </c>
      <c r="AM14">
        <v>1</v>
      </c>
      <c r="AN14">
        <v>0</v>
      </c>
      <c r="AO14">
        <v>1</v>
      </c>
      <c r="AP14">
        <v>1</v>
      </c>
      <c r="AQ14">
        <v>1</v>
      </c>
      <c r="AR14">
        <v>0</v>
      </c>
      <c r="AS14">
        <v>0</v>
      </c>
      <c r="AT14">
        <v>0</v>
      </c>
      <c r="AU14">
        <v>0</v>
      </c>
      <c r="AV14" t="str">
        <f t="shared" si="9"/>
        <v>01110000</v>
      </c>
      <c r="AW14" t="str">
        <f t="shared" si="10"/>
        <v>112,</v>
      </c>
      <c r="AX14" t="str">
        <f t="shared" si="11"/>
        <v xml:space="preserve"> 0x70,</v>
      </c>
      <c r="AY14" t="s">
        <v>0</v>
      </c>
      <c r="AZ14" t="s">
        <v>1</v>
      </c>
      <c r="BD14" t="str">
        <f t="shared" si="12"/>
        <v xml:space="preserve"> 0x1F,</v>
      </c>
      <c r="BE14" t="str">
        <f t="shared" si="13"/>
        <v>31,</v>
      </c>
      <c r="BF14" t="str">
        <f t="shared" si="14"/>
        <v>00011111</v>
      </c>
      <c r="BG14">
        <v>0</v>
      </c>
      <c r="BH14">
        <v>0</v>
      </c>
      <c r="BI14">
        <v>0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10000000</v>
      </c>
      <c r="BX14" t="str">
        <f t="shared" si="16"/>
        <v>128,</v>
      </c>
      <c r="BY14" t="str">
        <f t="shared" si="17"/>
        <v xml:space="preserve"> 0x80,</v>
      </c>
      <c r="BZ14" t="s">
        <v>0</v>
      </c>
      <c r="CA14" t="s">
        <v>1</v>
      </c>
    </row>
    <row r="15" spans="1:80">
      <c r="B15" t="str">
        <f t="shared" si="0"/>
        <v xml:space="preserve"> 0x39,</v>
      </c>
      <c r="C15" t="str">
        <f t="shared" si="1"/>
        <v>57,</v>
      </c>
      <c r="D15" t="str">
        <f t="shared" si="2"/>
        <v>00111001</v>
      </c>
      <c r="E15">
        <v>0</v>
      </c>
      <c r="F15">
        <v>0</v>
      </c>
      <c r="G15">
        <v>1</v>
      </c>
      <c r="H15">
        <v>1</v>
      </c>
      <c r="I15">
        <v>1</v>
      </c>
      <c r="J15">
        <v>0</v>
      </c>
      <c r="K15">
        <v>0</v>
      </c>
      <c r="L15">
        <v>1</v>
      </c>
      <c r="M15">
        <v>1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11000000</v>
      </c>
      <c r="V15" t="str">
        <f t="shared" si="4"/>
        <v>192,</v>
      </c>
      <c r="W15" t="str">
        <f t="shared" si="5"/>
        <v xml:space="preserve"> 0xC0,</v>
      </c>
      <c r="X15" t="s">
        <v>0</v>
      </c>
      <c r="Y15" t="s">
        <v>1</v>
      </c>
      <c r="AC15" t="str">
        <f t="shared" si="6"/>
        <v xml:space="preserve"> 0x6F,</v>
      </c>
      <c r="AD15" t="str">
        <f t="shared" si="7"/>
        <v>111,</v>
      </c>
      <c r="AE15" t="str">
        <f t="shared" si="8"/>
        <v>01101111</v>
      </c>
      <c r="AF15">
        <v>0</v>
      </c>
      <c r="AG15">
        <v>1</v>
      </c>
      <c r="AH15">
        <v>1</v>
      </c>
      <c r="AI15">
        <v>0</v>
      </c>
      <c r="AJ15">
        <v>1</v>
      </c>
      <c r="AK15">
        <v>1</v>
      </c>
      <c r="AL15">
        <v>1</v>
      </c>
      <c r="AM15">
        <v>1</v>
      </c>
      <c r="AN15">
        <v>0</v>
      </c>
      <c r="AO15">
        <v>1</v>
      </c>
      <c r="AP15">
        <v>1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01100000</v>
      </c>
      <c r="AW15" t="str">
        <f t="shared" si="10"/>
        <v>96,</v>
      </c>
      <c r="AX15" t="str">
        <f t="shared" si="11"/>
        <v xml:space="preserve"> 0x60,</v>
      </c>
      <c r="AY15" t="s">
        <v>0</v>
      </c>
      <c r="AZ15" t="s">
        <v>1</v>
      </c>
      <c r="BD15" t="str">
        <f t="shared" si="12"/>
        <v xml:space="preserve"> 0x39,</v>
      </c>
      <c r="BE15" t="str">
        <f t="shared" si="13"/>
        <v>57,</v>
      </c>
      <c r="BF15" t="str">
        <f t="shared" si="14"/>
        <v>00111001</v>
      </c>
      <c r="BG15">
        <v>0</v>
      </c>
      <c r="BH15">
        <v>0</v>
      </c>
      <c r="BI15">
        <v>1</v>
      </c>
      <c r="BJ15">
        <v>1</v>
      </c>
      <c r="BK15">
        <v>1</v>
      </c>
      <c r="BL15">
        <v>0</v>
      </c>
      <c r="BM15">
        <v>0</v>
      </c>
      <c r="BN15">
        <v>1</v>
      </c>
      <c r="BO15">
        <v>1</v>
      </c>
      <c r="BP15">
        <v>1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11000000</v>
      </c>
      <c r="BX15" t="str">
        <f t="shared" si="16"/>
        <v>192,</v>
      </c>
      <c r="BY15" t="str">
        <f t="shared" si="17"/>
        <v xml:space="preserve"> 0xC0,</v>
      </c>
      <c r="BZ15" t="s">
        <v>0</v>
      </c>
      <c r="CA15" t="s">
        <v>1</v>
      </c>
    </row>
    <row r="16" spans="1:80">
      <c r="B16" t="str">
        <f t="shared" si="0"/>
        <v xml:space="preserve"> 0x1F,</v>
      </c>
      <c r="C16" t="str">
        <f t="shared" si="1"/>
        <v>31,</v>
      </c>
      <c r="D16" t="str">
        <f t="shared" si="2"/>
        <v>00011111</v>
      </c>
      <c r="E16">
        <v>0</v>
      </c>
      <c r="F16">
        <v>0</v>
      </c>
      <c r="G16">
        <v>0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10000000</v>
      </c>
      <c r="V16" t="str">
        <f t="shared" si="4"/>
        <v>128,</v>
      </c>
      <c r="W16" t="str">
        <f t="shared" si="5"/>
        <v xml:space="preserve"> 0x80,</v>
      </c>
      <c r="X16" t="s">
        <v>0</v>
      </c>
      <c r="Y16" t="s">
        <v>1</v>
      </c>
      <c r="AC16" t="str">
        <f t="shared" si="6"/>
        <v xml:space="preserve"> 0x7F,</v>
      </c>
      <c r="AD16" t="str">
        <f t="shared" si="7"/>
        <v>127,</v>
      </c>
      <c r="AE16" t="str">
        <f t="shared" si="8"/>
        <v>01111111</v>
      </c>
      <c r="AF16">
        <v>0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11100000</v>
      </c>
      <c r="AW16" t="str">
        <f t="shared" si="10"/>
        <v>224,</v>
      </c>
      <c r="AX16" t="str">
        <f t="shared" si="11"/>
        <v xml:space="preserve"> 0xE0,</v>
      </c>
      <c r="AY16" t="s">
        <v>0</v>
      </c>
      <c r="AZ16" t="s">
        <v>1</v>
      </c>
      <c r="BD16" t="str">
        <f t="shared" si="12"/>
        <v xml:space="preserve"> 0x39,</v>
      </c>
      <c r="BE16" t="str">
        <f t="shared" si="13"/>
        <v>57,</v>
      </c>
      <c r="BF16" t="str">
        <f t="shared" si="14"/>
        <v>00111001</v>
      </c>
      <c r="BG16">
        <v>0</v>
      </c>
      <c r="BH16">
        <v>0</v>
      </c>
      <c r="BI16">
        <v>1</v>
      </c>
      <c r="BJ16">
        <v>1</v>
      </c>
      <c r="BK16">
        <v>1</v>
      </c>
      <c r="BL16">
        <v>0</v>
      </c>
      <c r="BM16">
        <v>0</v>
      </c>
      <c r="BN16">
        <v>1</v>
      </c>
      <c r="BO16">
        <v>1</v>
      </c>
      <c r="BP16">
        <v>1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11000000</v>
      </c>
      <c r="BX16" t="str">
        <f t="shared" si="16"/>
        <v>192,</v>
      </c>
      <c r="BY16" t="str">
        <f t="shared" si="17"/>
        <v xml:space="preserve"> 0xC0,</v>
      </c>
      <c r="BZ16" t="s">
        <v>0</v>
      </c>
      <c r="CA16" t="s">
        <v>1</v>
      </c>
    </row>
    <row r="17" spans="1:79">
      <c r="B17" t="str">
        <f t="shared" si="0"/>
        <v xml:space="preserve"> 0x1F,</v>
      </c>
      <c r="C17" t="str">
        <f t="shared" si="1"/>
        <v>31,</v>
      </c>
      <c r="D17" t="str">
        <f t="shared" si="2"/>
        <v>00011111</v>
      </c>
      <c r="E17">
        <v>0</v>
      </c>
      <c r="F17">
        <v>0</v>
      </c>
      <c r="G17">
        <v>0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10000000</v>
      </c>
      <c r="V17" t="str">
        <f t="shared" si="4"/>
        <v>128,</v>
      </c>
      <c r="W17" t="str">
        <f t="shared" si="5"/>
        <v xml:space="preserve"> 0x80,</v>
      </c>
      <c r="X17" t="s">
        <v>0</v>
      </c>
      <c r="Y17" t="s">
        <v>1</v>
      </c>
      <c r="AC17" t="str">
        <f t="shared" si="6"/>
        <v xml:space="preserve"> 0x7F,</v>
      </c>
      <c r="AD17" t="str">
        <f t="shared" si="7"/>
        <v>127,</v>
      </c>
      <c r="AE17" t="str">
        <f t="shared" si="8"/>
        <v>01111111</v>
      </c>
      <c r="AF17">
        <v>0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11100000</v>
      </c>
      <c r="AW17" t="str">
        <f t="shared" si="10"/>
        <v>224,</v>
      </c>
      <c r="AX17" t="str">
        <f t="shared" si="11"/>
        <v xml:space="preserve"> 0xE0,</v>
      </c>
      <c r="AY17" t="s">
        <v>0</v>
      </c>
      <c r="AZ17" t="s">
        <v>1</v>
      </c>
      <c r="BD17" t="str">
        <f t="shared" si="12"/>
        <v xml:space="preserve"> 0x70,</v>
      </c>
      <c r="BE17" t="str">
        <f t="shared" si="13"/>
        <v>112,</v>
      </c>
      <c r="BF17" t="str">
        <f t="shared" si="14"/>
        <v>01110000</v>
      </c>
      <c r="BG17">
        <v>0</v>
      </c>
      <c r="BH17">
        <v>1</v>
      </c>
      <c r="BI17">
        <v>1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1</v>
      </c>
      <c r="BP17">
        <v>1</v>
      </c>
      <c r="BQ17">
        <v>1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11100000</v>
      </c>
      <c r="BX17" t="str">
        <f t="shared" si="16"/>
        <v>224,</v>
      </c>
      <c r="BY17" t="str">
        <f t="shared" si="17"/>
        <v xml:space="preserve"> 0xE0,</v>
      </c>
      <c r="BZ17" t="s">
        <v>0</v>
      </c>
      <c r="CA17" t="s">
        <v>1</v>
      </c>
    </row>
    <row r="18" spans="1:79">
      <c r="B18" t="str">
        <f t="shared" si="0"/>
        <v xml:space="preserve"> 0x0F,</v>
      </c>
      <c r="C18" t="str">
        <f t="shared" si="1"/>
        <v>15,</v>
      </c>
      <c r="D18" t="str">
        <f t="shared" si="2"/>
        <v>00001111</v>
      </c>
      <c r="E18">
        <v>0</v>
      </c>
      <c r="F18">
        <v>0</v>
      </c>
      <c r="G18">
        <v>0</v>
      </c>
      <c r="H18">
        <v>0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0x79,</v>
      </c>
      <c r="AD18" t="str">
        <f t="shared" si="7"/>
        <v>121,</v>
      </c>
      <c r="AE18" t="str">
        <f t="shared" si="8"/>
        <v>01111001</v>
      </c>
      <c r="AF18">
        <v>0</v>
      </c>
      <c r="AG18">
        <v>1</v>
      </c>
      <c r="AH18">
        <v>1</v>
      </c>
      <c r="AI18">
        <v>1</v>
      </c>
      <c r="AJ18">
        <v>1</v>
      </c>
      <c r="AK18">
        <v>0</v>
      </c>
      <c r="AL18">
        <v>0</v>
      </c>
      <c r="AM18">
        <v>1</v>
      </c>
      <c r="AN18">
        <v>1</v>
      </c>
      <c r="AO18">
        <v>1</v>
      </c>
      <c r="AP18">
        <v>1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11100000</v>
      </c>
      <c r="AW18" t="str">
        <f t="shared" si="10"/>
        <v>224,</v>
      </c>
      <c r="AX18" t="str">
        <f t="shared" si="11"/>
        <v xml:space="preserve"> 0xE0,</v>
      </c>
      <c r="AY18" t="s">
        <v>0</v>
      </c>
      <c r="AZ18" t="s">
        <v>1</v>
      </c>
      <c r="BD18" t="str">
        <f t="shared" si="12"/>
        <v xml:space="preserve"> 0x70,</v>
      </c>
      <c r="BE18" t="str">
        <f t="shared" si="13"/>
        <v>112,</v>
      </c>
      <c r="BF18" t="str">
        <f t="shared" si="14"/>
        <v>01110000</v>
      </c>
      <c r="BG18">
        <v>0</v>
      </c>
      <c r="BH18">
        <v>1</v>
      </c>
      <c r="BI18">
        <v>1</v>
      </c>
      <c r="BJ18">
        <v>1</v>
      </c>
      <c r="BK18">
        <v>0</v>
      </c>
      <c r="BL18">
        <v>0</v>
      </c>
      <c r="BM18">
        <v>0</v>
      </c>
      <c r="BN18">
        <v>0</v>
      </c>
      <c r="BO18">
        <v>1</v>
      </c>
      <c r="BP18">
        <v>1</v>
      </c>
      <c r="BQ18">
        <v>1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11100000</v>
      </c>
      <c r="BX18" t="str">
        <f t="shared" si="16"/>
        <v>224,</v>
      </c>
      <c r="BY18" t="str">
        <f t="shared" si="17"/>
        <v xml:space="preserve"> 0xE0,</v>
      </c>
      <c r="BZ18" t="s">
        <v>0</v>
      </c>
      <c r="CA18" t="s">
        <v>1</v>
      </c>
    </row>
    <row r="19" spans="1:79">
      <c r="B19" t="str">
        <f t="shared" si="0"/>
        <v xml:space="preserve"> 0x0F,</v>
      </c>
      <c r="C19" t="str">
        <f t="shared" si="1"/>
        <v>15,</v>
      </c>
      <c r="D19" t="str">
        <f t="shared" si="2"/>
        <v>00001111</v>
      </c>
      <c r="E19">
        <v>0</v>
      </c>
      <c r="F19">
        <v>0</v>
      </c>
      <c r="G19">
        <v>0</v>
      </c>
      <c r="H19">
        <v>0</v>
      </c>
      <c r="I19">
        <v>1</v>
      </c>
      <c r="J19">
        <v>1</v>
      </c>
      <c r="K19">
        <v>1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0x30,</v>
      </c>
      <c r="AD19" t="str">
        <f t="shared" si="7"/>
        <v>48,</v>
      </c>
      <c r="AE19" t="str">
        <f t="shared" si="8"/>
        <v>00110000</v>
      </c>
      <c r="AF19">
        <v>0</v>
      </c>
      <c r="AG19">
        <v>0</v>
      </c>
      <c r="AH19">
        <v>1</v>
      </c>
      <c r="AI19">
        <v>1</v>
      </c>
      <c r="AJ19">
        <v>0</v>
      </c>
      <c r="AK19">
        <v>0</v>
      </c>
      <c r="AL19">
        <v>0</v>
      </c>
      <c r="AM19">
        <v>0</v>
      </c>
      <c r="AN19">
        <v>1</v>
      </c>
      <c r="AO19">
        <v>1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11000000</v>
      </c>
      <c r="AW19" t="str">
        <f t="shared" si="10"/>
        <v>192,</v>
      </c>
      <c r="AX19" t="str">
        <f t="shared" si="11"/>
        <v xml:space="preserve"> 0xC0,</v>
      </c>
      <c r="AY19" t="s">
        <v>0</v>
      </c>
      <c r="AZ19" t="s">
        <v>1</v>
      </c>
      <c r="BD19" t="str">
        <f t="shared" si="12"/>
        <v xml:space="preserve"> 0xF9,</v>
      </c>
      <c r="BE19" t="str">
        <f t="shared" si="13"/>
        <v>249,</v>
      </c>
      <c r="BF19" t="str">
        <f t="shared" si="14"/>
        <v>11111001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0</v>
      </c>
      <c r="BM19">
        <v>0</v>
      </c>
      <c r="BN19">
        <v>1</v>
      </c>
      <c r="BO19">
        <v>1</v>
      </c>
      <c r="BP19">
        <v>1</v>
      </c>
      <c r="BQ19">
        <v>1</v>
      </c>
      <c r="BR19">
        <v>1</v>
      </c>
      <c r="BS19">
        <v>0</v>
      </c>
      <c r="BT19">
        <v>0</v>
      </c>
      <c r="BU19">
        <v>0</v>
      </c>
      <c r="BV19">
        <v>0</v>
      </c>
      <c r="BW19" t="str">
        <f t="shared" si="15"/>
        <v>11110000</v>
      </c>
      <c r="BX19" t="str">
        <f t="shared" si="16"/>
        <v>240,</v>
      </c>
      <c r="BY19" t="str">
        <f t="shared" si="17"/>
        <v xml:space="preserve"> 0xF0,</v>
      </c>
      <c r="BZ19" t="s">
        <v>0</v>
      </c>
      <c r="CA19" t="s">
        <v>1</v>
      </c>
    </row>
    <row r="20" spans="1:79">
      <c r="B20" t="str">
        <f t="shared" si="0"/>
        <v xml:space="preserve"> 0x06,</v>
      </c>
      <c r="C20" t="str">
        <f t="shared" si="1"/>
        <v>6,</v>
      </c>
      <c r="D20" t="str">
        <f t="shared" si="2"/>
        <v>00000110</v>
      </c>
      <c r="E20">
        <v>0</v>
      </c>
      <c r="F20">
        <v>0</v>
      </c>
      <c r="G20">
        <v>0</v>
      </c>
      <c r="H20">
        <v>0</v>
      </c>
      <c r="I20">
        <v>0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0x30,</v>
      </c>
      <c r="AD20" t="str">
        <f t="shared" si="7"/>
        <v>48,</v>
      </c>
      <c r="AE20" t="str">
        <f t="shared" si="8"/>
        <v>00110000</v>
      </c>
      <c r="AF20">
        <v>0</v>
      </c>
      <c r="AG20">
        <v>0</v>
      </c>
      <c r="AH20">
        <v>1</v>
      </c>
      <c r="AI20">
        <v>1</v>
      </c>
      <c r="AJ20">
        <v>0</v>
      </c>
      <c r="AK20">
        <v>0</v>
      </c>
      <c r="AL20">
        <v>0</v>
      </c>
      <c r="AM20">
        <v>0</v>
      </c>
      <c r="AN20">
        <v>1</v>
      </c>
      <c r="AO20">
        <v>1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11000000</v>
      </c>
      <c r="AW20" t="str">
        <f t="shared" si="10"/>
        <v>192,</v>
      </c>
      <c r="AX20" t="str">
        <f t="shared" si="11"/>
        <v xml:space="preserve"> 0xC0,</v>
      </c>
      <c r="AY20" t="s">
        <v>0</v>
      </c>
      <c r="AZ20" t="s">
        <v>1</v>
      </c>
      <c r="BD20" t="str">
        <f t="shared" si="12"/>
        <v xml:space="preserve"> 0xF9,</v>
      </c>
      <c r="BE20" t="str">
        <f t="shared" si="13"/>
        <v>249,</v>
      </c>
      <c r="BF20" t="str">
        <f t="shared" si="14"/>
        <v>11111001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0</v>
      </c>
      <c r="BM20">
        <v>0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0</v>
      </c>
      <c r="BT20">
        <v>0</v>
      </c>
      <c r="BU20">
        <v>0</v>
      </c>
      <c r="BV20">
        <v>0</v>
      </c>
      <c r="BW20" t="str">
        <f t="shared" si="15"/>
        <v>11110000</v>
      </c>
      <c r="BX20" t="str">
        <f t="shared" si="16"/>
        <v>240,</v>
      </c>
      <c r="BY20" t="str">
        <f t="shared" si="17"/>
        <v xml:space="preserve"> 0xF0,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1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12,</v>
      </c>
      <c r="V22" t="str">
        <f>Y20&amp;DEC2HEX(U22,2)&amp;X20</f>
        <v xml:space="preserve"> 0x0C,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1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12,</v>
      </c>
      <c r="AW22" t="str">
        <f>AZ20&amp;DEC2HEX(AV22,2)&amp;AY20</f>
        <v xml:space="preserve"> 0x0C,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1</v>
      </c>
      <c r="BR22">
        <f t="shared" si="20"/>
        <v>1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12,</v>
      </c>
      <c r="BX22" t="str">
        <f>CA20&amp;DEC2HEX(BW22,2)&amp;BZ20</f>
        <v xml:space="preserve"> 0x0C,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12,224,112,224,112,224,112,224,112,224,112,224,112,224,112,112,224,112,224,57,192,57,192,31,128,31,128,15,0,15,0,6,0,//V//86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12,224,112,224,112,224,112,224,112,224,112,224,112,224,112,230,112,230,112,239,112,111,96,127,224,127,224,121,224,48,192,48,192,//W//87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12,249,240,249,240,112,224,112,224,57,192,57,192,31,128,15,0,15,0,31,128,57,192,57,192,112,224,112,224,249,240,249,240,//X//88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0x0C, 0xE0, 0x70, 0xE0, 0x70, 0xE0, 0x70, 0xE0, 0x70, 0xE0, 0x70, 0xE0, 0x70, 0xE0, 0x70, 0x70, 0xE0, 0x70, 0xE0, 0x39, 0xC0, 0x39, 0xC0, 0x1F, 0x80, 0x1F, 0x80, 0x0F, 0x00, 0x0F, 0x00, 0x06, 0x00,//V//86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0x0C, 0xE0, 0x70, 0xE0, 0x70, 0xE0, 0x70, 0xE0, 0x70, 0xE0, 0x70, 0xE0, 0x70, 0xE0, 0x70, 0xE6, 0x70, 0xE6, 0x70, 0xEF, 0x70, 0x6F, 0x60, 0x7F, 0xE0, 0x7F, 0xE0, 0x79, 0xE0, 0x30, 0xC0, 0x30, 0xC0,//W//87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0x0C, 0xF9, 0xF0, 0xF9, 0xF0, 0x70, 0xE0, 0x70, 0xE0, 0x39, 0xC0, 0x39, 0xC0, 0x1F, 0x80, 0x0F, 0x00, 0x0F, 0x00, 0x1F, 0x80, 0x39, 0xC0, 0x39, 0xC0, 0x70, 0xE0, 0x70, 0xE0, 0xF9, 0xF0, 0xF9, 0xF0,//X//88</v>
      </c>
    </row>
    <row r="28" spans="1:79">
      <c r="A28" s="1" t="str">
        <f>$B$24</f>
        <v>12,224,112,224,112,224,112,224,112,224,112,224,112,224,112,112,224,112,224,57,192,57,192,31,128,31,128,15,0,15,0,6,0,//V//86</v>
      </c>
      <c r="E28" t="s">
        <v>4</v>
      </c>
      <c r="AB28" s="1" t="str">
        <f>$AC$24</f>
        <v>12,224,112,224,112,224,112,224,112,224,112,224,112,224,112,230,112,230,112,239,112,111,96,127,224,127,224,121,224,48,192,48,192,//W//87</v>
      </c>
      <c r="AF28" t="s">
        <v>4</v>
      </c>
      <c r="BC28" s="1" t="str">
        <f>$BD$24</f>
        <v>12,249,240,249,240,112,224,112,224,57,192,57,192,31,128,15,0,15,0,31,128,57,192,57,192,112,224,112,224,249,240,249,240,//X//88</v>
      </c>
      <c r="BG28" t="s">
        <v>4</v>
      </c>
    </row>
    <row r="29" spans="1:79">
      <c r="A29" s="2" t="str">
        <f>$B$25</f>
        <v xml:space="preserve"> 0x0C, 0xE0, 0x70, 0xE0, 0x70, 0xE0, 0x70, 0xE0, 0x70, 0xE0, 0x70, 0xE0, 0x70, 0xE0, 0x70, 0x70, 0xE0, 0x70, 0xE0, 0x39, 0xC0, 0x39, 0xC0, 0x1F, 0x80, 0x1F, 0x80, 0x0F, 0x00, 0x0F, 0x00, 0x06, 0x00,//V//86</v>
      </c>
      <c r="E29" t="s">
        <v>3</v>
      </c>
      <c r="AB29" s="2" t="str">
        <f>$AC$25</f>
        <v xml:space="preserve"> 0x0C, 0xE0, 0x70, 0xE0, 0x70, 0xE0, 0x70, 0xE0, 0x70, 0xE0, 0x70, 0xE0, 0x70, 0xE0, 0x70, 0xE6, 0x70, 0xE6, 0x70, 0xEF, 0x70, 0x6F, 0x60, 0x7F, 0xE0, 0x7F, 0xE0, 0x79, 0xE0, 0x30, 0xC0, 0x30, 0xC0,//W//87</v>
      </c>
      <c r="AF29" t="s">
        <v>3</v>
      </c>
      <c r="BC29" s="2" t="str">
        <f>$BD$25</f>
        <v xml:space="preserve"> 0x0C, 0xF9, 0xF0, 0xF9, 0xF0, 0x70, 0xE0, 0x70, 0xE0, 0x39, 0xC0, 0x39, 0xC0, 0x1F, 0x80, 0x0F, 0x00, 0x0F, 0x00, 0x1F, 0x80, 0x39, 0xC0, 0x39, 0xC0, 0x70, 0xE0, 0x70, 0xE0, 0xF9, 0xF0, 0xF9, 0xF0,//X//88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1"/>
  <dimension ref="A4:CB29"/>
  <sheetViews>
    <sheetView workbookViewId="0">
      <selection activeCell="L32" sqref="L32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89</v>
      </c>
      <c r="Z4" t="s">
        <v>5</v>
      </c>
      <c r="AB4" s="3">
        <v>90</v>
      </c>
      <c r="BA4" t="s">
        <v>5</v>
      </c>
      <c r="BC4" s="3">
        <v>91</v>
      </c>
      <c r="CB4" t="s">
        <v>5</v>
      </c>
    </row>
    <row r="5" spans="1:80">
      <c r="A5" s="3" t="s">
        <v>258</v>
      </c>
      <c r="B5" t="str">
        <f>Z5&amp;Y5&amp;BIN2HEX(D5,2)&amp;X5</f>
        <v xml:space="preserve"> 0xE0,</v>
      </c>
      <c r="C5" t="str">
        <f>Z5&amp;BIN2DEC(D5)&amp;X5</f>
        <v>224,</v>
      </c>
      <c r="D5" t="str">
        <f>E5&amp;F5&amp;G5&amp;H5&amp;I5&amp;J5&amp;K5&amp;L5</f>
        <v>11100000</v>
      </c>
      <c r="E5">
        <v>1</v>
      </c>
      <c r="F5">
        <v>1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1</v>
      </c>
      <c r="N5">
        <v>1</v>
      </c>
      <c r="O5">
        <v>1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11100000</v>
      </c>
      <c r="V5" t="str">
        <f>Z5&amp;BIN2DEC(U5)&amp;X5</f>
        <v>224,</v>
      </c>
      <c r="W5" t="str">
        <f>Z5&amp;Y5&amp;BIN2HEX(U5,2)&amp;X5</f>
        <v xml:space="preserve"> 0xE0,</v>
      </c>
      <c r="X5" t="s">
        <v>0</v>
      </c>
      <c r="Y5" t="s">
        <v>1</v>
      </c>
      <c r="AB5" s="3" t="s">
        <v>259</v>
      </c>
      <c r="AC5" t="str">
        <f>BA5&amp;AZ5&amp;BIN2HEX(AE5,2)&amp;AY5</f>
        <v xml:space="preserve"> 0xFF,</v>
      </c>
      <c r="AD5" t="str">
        <f>BA5&amp;BIN2DEC(AE5)&amp;AY5</f>
        <v>255,</v>
      </c>
      <c r="AE5" t="str">
        <f>AF5&amp;AG5&amp;AH5&amp;AI5&amp;AJ5&amp;AK5&amp;AL5&amp;AM5</f>
        <v>11111111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11110000</v>
      </c>
      <c r="AW5" t="str">
        <f>BA5&amp;BIN2DEC(AV5)&amp;AY5</f>
        <v>240,</v>
      </c>
      <c r="AX5" t="str">
        <f>BA5&amp;AZ5&amp;BIN2HEX(AV5,2)&amp;AY5</f>
        <v xml:space="preserve"> 0xF0,</v>
      </c>
      <c r="AY5" t="s">
        <v>0</v>
      </c>
      <c r="AZ5" t="s">
        <v>1</v>
      </c>
      <c r="BC5" s="3" t="s">
        <v>260</v>
      </c>
      <c r="BD5" t="str">
        <f>CB5&amp;CA5&amp;BIN2HEX(BF5,2)&amp;BZ5</f>
        <v xml:space="preserve"> 0xFC,</v>
      </c>
      <c r="BE5" t="str">
        <f>CB5&amp;BIN2DEC(BF5)&amp;BZ5</f>
        <v>252,</v>
      </c>
      <c r="BF5" t="str">
        <f>BG5&amp;BH5&amp;BI5&amp;BJ5&amp;BK5&amp;BL5&amp;BM5&amp;BN5</f>
        <v>11111100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0xE0,</v>
      </c>
      <c r="C6" t="str">
        <f t="shared" ref="C6:C20" si="1">Z6&amp;BIN2DEC(D6)&amp;X6</f>
        <v>224,</v>
      </c>
      <c r="D6" t="str">
        <f t="shared" ref="D6:D20" si="2">E6&amp;F6&amp;G6&amp;H6&amp;I6&amp;J6&amp;K6&amp;L6</f>
        <v>11100000</v>
      </c>
      <c r="E6">
        <v>1</v>
      </c>
      <c r="F6">
        <v>1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1</v>
      </c>
      <c r="N6">
        <v>1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11100000</v>
      </c>
      <c r="V6" t="str">
        <f t="shared" ref="V6:V20" si="4">Z6&amp;BIN2DEC(U6)&amp;X6</f>
        <v>224,</v>
      </c>
      <c r="W6" t="str">
        <f t="shared" ref="W6:W20" si="5">Z6&amp;Y6&amp;BIN2HEX(U6,2)&amp;X6</f>
        <v xml:space="preserve"> 0xE0,</v>
      </c>
      <c r="X6" t="s">
        <v>0</v>
      </c>
      <c r="Y6" t="s">
        <v>1</v>
      </c>
      <c r="AC6" t="str">
        <f t="shared" ref="AC6:AC20" si="6">BA6&amp;AZ6&amp;BIN2HEX(AE6,2)&amp;AY6</f>
        <v xml:space="preserve"> 0xFF,</v>
      </c>
      <c r="AD6" t="str">
        <f t="shared" ref="AD6:AD20" si="7">BA6&amp;BIN2DEC(AE6)&amp;AY6</f>
        <v>255,</v>
      </c>
      <c r="AE6" t="str">
        <f t="shared" ref="AE6:AE20" si="8">AF6&amp;AG6&amp;AH6&amp;AI6&amp;AJ6&amp;AK6&amp;AL6&amp;AM6</f>
        <v>11111111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11110000</v>
      </c>
      <c r="AW6" t="str">
        <f t="shared" ref="AW6:AW20" si="10">BA6&amp;BIN2DEC(AV6)&amp;AY6</f>
        <v>240,</v>
      </c>
      <c r="AX6" t="str">
        <f t="shared" ref="AX6:AX20" si="11">BA6&amp;AZ6&amp;BIN2HEX(AV6,2)&amp;AY6</f>
        <v xml:space="preserve"> 0xF0,</v>
      </c>
      <c r="AY6" t="s">
        <v>0</v>
      </c>
      <c r="AZ6" t="s">
        <v>1</v>
      </c>
      <c r="BD6" t="str">
        <f t="shared" ref="BD6:BD20" si="12">CB6&amp;CA6&amp;BIN2HEX(BF6,2)&amp;BZ6</f>
        <v xml:space="preserve"> 0xFC,</v>
      </c>
      <c r="BE6" t="str">
        <f t="shared" ref="BE6:BE20" si="13">CB6&amp;BIN2DEC(BF6)&amp;BZ6</f>
        <v>252,</v>
      </c>
      <c r="BF6" t="str">
        <f t="shared" ref="BF6:BF20" si="14">BG6&amp;BH6&amp;BI6&amp;BJ6&amp;BK6&amp;BL6&amp;BM6&amp;BN6</f>
        <v>11111100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0xE0,</v>
      </c>
      <c r="C7" t="str">
        <f t="shared" si="1"/>
        <v>224,</v>
      </c>
      <c r="D7" t="str">
        <f t="shared" si="2"/>
        <v>11100000</v>
      </c>
      <c r="E7">
        <v>1</v>
      </c>
      <c r="F7">
        <v>1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11100000</v>
      </c>
      <c r="V7" t="str">
        <f t="shared" si="4"/>
        <v>224,</v>
      </c>
      <c r="W7" t="str">
        <f t="shared" si="5"/>
        <v xml:space="preserve"> 0xE0,</v>
      </c>
      <c r="X7" t="s">
        <v>0</v>
      </c>
      <c r="Y7" t="s">
        <v>1</v>
      </c>
      <c r="AC7" t="str">
        <f t="shared" si="6"/>
        <v xml:space="preserve"> 0xE0,</v>
      </c>
      <c r="AD7" t="str">
        <f t="shared" si="7"/>
        <v>224,</v>
      </c>
      <c r="AE7" t="str">
        <f t="shared" si="8"/>
        <v>11100000</v>
      </c>
      <c r="AF7">
        <v>1</v>
      </c>
      <c r="AG7">
        <v>1</v>
      </c>
      <c r="AH7">
        <v>1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1</v>
      </c>
      <c r="AP7">
        <v>1</v>
      </c>
      <c r="AQ7">
        <v>1</v>
      </c>
      <c r="AR7">
        <v>0</v>
      </c>
      <c r="AS7">
        <v>0</v>
      </c>
      <c r="AT7">
        <v>0</v>
      </c>
      <c r="AU7">
        <v>0</v>
      </c>
      <c r="AV7" t="str">
        <f t="shared" si="9"/>
        <v>01110000</v>
      </c>
      <c r="AW7" t="str">
        <f t="shared" si="10"/>
        <v>112,</v>
      </c>
      <c r="AX7" t="str">
        <f t="shared" si="11"/>
        <v xml:space="preserve"> 0x70,</v>
      </c>
      <c r="AY7" t="s">
        <v>0</v>
      </c>
      <c r="AZ7" t="s">
        <v>1</v>
      </c>
      <c r="BD7" t="str">
        <f t="shared" si="12"/>
        <v xml:space="preserve"> 0xE0,</v>
      </c>
      <c r="BE7" t="str">
        <f t="shared" si="13"/>
        <v>224,</v>
      </c>
      <c r="BF7" t="str">
        <f t="shared" si="14"/>
        <v>11100000</v>
      </c>
      <c r="BG7">
        <v>1</v>
      </c>
      <c r="BH7">
        <v>1</v>
      </c>
      <c r="BI7">
        <v>1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0xE0,</v>
      </c>
      <c r="C8" t="str">
        <f t="shared" si="1"/>
        <v>224,</v>
      </c>
      <c r="D8" t="str">
        <f t="shared" si="2"/>
        <v>11100000</v>
      </c>
      <c r="E8">
        <v>1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1</v>
      </c>
      <c r="O8">
        <v>1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11100000</v>
      </c>
      <c r="V8" t="str">
        <f t="shared" si="4"/>
        <v>224,</v>
      </c>
      <c r="W8" t="str">
        <f t="shared" si="5"/>
        <v xml:space="preserve"> 0xE0,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1</v>
      </c>
      <c r="AP8">
        <v>1</v>
      </c>
      <c r="AQ8">
        <v>1</v>
      </c>
      <c r="AR8">
        <v>0</v>
      </c>
      <c r="AS8">
        <v>0</v>
      </c>
      <c r="AT8">
        <v>0</v>
      </c>
      <c r="AU8">
        <v>0</v>
      </c>
      <c r="AV8" t="str">
        <f t="shared" si="9"/>
        <v>01110000</v>
      </c>
      <c r="AW8" t="str">
        <f t="shared" si="10"/>
        <v>112,</v>
      </c>
      <c r="AX8" t="str">
        <f t="shared" si="11"/>
        <v xml:space="preserve"> 0x70,</v>
      </c>
      <c r="AY8" t="s">
        <v>0</v>
      </c>
      <c r="AZ8" t="s">
        <v>1</v>
      </c>
      <c r="BD8" t="str">
        <f t="shared" si="12"/>
        <v xml:space="preserve"> 0xE0,</v>
      </c>
      <c r="BE8" t="str">
        <f t="shared" si="13"/>
        <v>224,</v>
      </c>
      <c r="BF8" t="str">
        <f t="shared" si="14"/>
        <v>11100000</v>
      </c>
      <c r="BG8">
        <v>1</v>
      </c>
      <c r="BH8">
        <v>1</v>
      </c>
      <c r="BI8">
        <v>1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0xE0,</v>
      </c>
      <c r="C9" t="str">
        <f t="shared" si="1"/>
        <v>224,</v>
      </c>
      <c r="D9" t="str">
        <f t="shared" si="2"/>
        <v>11100000</v>
      </c>
      <c r="E9">
        <v>1</v>
      </c>
      <c r="F9">
        <v>1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1</v>
      </c>
      <c r="N9">
        <v>1</v>
      </c>
      <c r="O9">
        <v>1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11100000</v>
      </c>
      <c r="V9" t="str">
        <f t="shared" si="4"/>
        <v>224,</v>
      </c>
      <c r="W9" t="str">
        <f t="shared" si="5"/>
        <v xml:space="preserve"> 0xE0,</v>
      </c>
      <c r="X9" t="s">
        <v>0</v>
      </c>
      <c r="Y9" t="s">
        <v>1</v>
      </c>
      <c r="AC9" t="str">
        <f t="shared" si="6"/>
        <v xml:space="preserve"> 0x00,</v>
      </c>
      <c r="AD9" t="str">
        <f t="shared" si="7"/>
        <v>0,</v>
      </c>
      <c r="AE9" t="str">
        <f t="shared" si="8"/>
        <v>00000000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1</v>
      </c>
      <c r="AO9">
        <v>1</v>
      </c>
      <c r="AP9">
        <v>1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11100000</v>
      </c>
      <c r="AW9" t="str">
        <f t="shared" si="10"/>
        <v>224,</v>
      </c>
      <c r="AX9" t="str">
        <f t="shared" si="11"/>
        <v xml:space="preserve"> 0xE0,</v>
      </c>
      <c r="AY9" t="s">
        <v>0</v>
      </c>
      <c r="AZ9" t="s">
        <v>1</v>
      </c>
      <c r="BD9" t="str">
        <f t="shared" si="12"/>
        <v xml:space="preserve"> 0xE0,</v>
      </c>
      <c r="BE9" t="str">
        <f t="shared" si="13"/>
        <v>224,</v>
      </c>
      <c r="BF9" t="str">
        <f t="shared" si="14"/>
        <v>11100000</v>
      </c>
      <c r="BG9">
        <v>1</v>
      </c>
      <c r="BH9">
        <v>1</v>
      </c>
      <c r="BI9">
        <v>1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0x71,</v>
      </c>
      <c r="C10" t="str">
        <f t="shared" si="1"/>
        <v>113,</v>
      </c>
      <c r="D10" t="str">
        <f t="shared" si="2"/>
        <v>01110001</v>
      </c>
      <c r="E10">
        <v>0</v>
      </c>
      <c r="F10">
        <v>1</v>
      </c>
      <c r="G10">
        <v>1</v>
      </c>
      <c r="H10">
        <v>1</v>
      </c>
      <c r="I10">
        <v>0</v>
      </c>
      <c r="J10">
        <v>0</v>
      </c>
      <c r="K10">
        <v>0</v>
      </c>
      <c r="L10">
        <v>1</v>
      </c>
      <c r="M10">
        <v>1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11000000</v>
      </c>
      <c r="V10" t="str">
        <f t="shared" si="4"/>
        <v>192,</v>
      </c>
      <c r="W10" t="str">
        <f t="shared" si="5"/>
        <v xml:space="preserve"> 0xC0,</v>
      </c>
      <c r="X10" t="s">
        <v>0</v>
      </c>
      <c r="Y10" t="s">
        <v>1</v>
      </c>
      <c r="AC10" t="str">
        <f t="shared" si="6"/>
        <v xml:space="preserve"> 0x01,</v>
      </c>
      <c r="AD10" t="str">
        <f t="shared" si="7"/>
        <v>1,</v>
      </c>
      <c r="AE10" t="str">
        <f t="shared" si="8"/>
        <v>00000001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1</v>
      </c>
      <c r="AN10">
        <v>1</v>
      </c>
      <c r="AO10">
        <v>1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11000000</v>
      </c>
      <c r="AW10" t="str">
        <f t="shared" si="10"/>
        <v>192,</v>
      </c>
      <c r="AX10" t="str">
        <f t="shared" si="11"/>
        <v xml:space="preserve"> 0xC0,</v>
      </c>
      <c r="AY10" t="s">
        <v>0</v>
      </c>
      <c r="AZ10" t="s">
        <v>1</v>
      </c>
      <c r="BD10" t="str">
        <f t="shared" si="12"/>
        <v xml:space="preserve"> 0xE0,</v>
      </c>
      <c r="BE10" t="str">
        <f t="shared" si="13"/>
        <v>224,</v>
      </c>
      <c r="BF10" t="str">
        <f t="shared" si="14"/>
        <v>11100000</v>
      </c>
      <c r="BG10">
        <v>1</v>
      </c>
      <c r="BH10">
        <v>1</v>
      </c>
      <c r="BI10">
        <v>1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0x3B,</v>
      </c>
      <c r="C11" t="str">
        <f t="shared" si="1"/>
        <v>59,</v>
      </c>
      <c r="D11" t="str">
        <f t="shared" si="2"/>
        <v>00111011</v>
      </c>
      <c r="E11">
        <v>0</v>
      </c>
      <c r="F11">
        <v>0</v>
      </c>
      <c r="G11">
        <v>1</v>
      </c>
      <c r="H11">
        <v>1</v>
      </c>
      <c r="I11">
        <v>1</v>
      </c>
      <c r="J11">
        <v>0</v>
      </c>
      <c r="K11">
        <v>1</v>
      </c>
      <c r="L11">
        <v>1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10000000</v>
      </c>
      <c r="V11" t="str">
        <f t="shared" si="4"/>
        <v>128,</v>
      </c>
      <c r="W11" t="str">
        <f t="shared" si="5"/>
        <v xml:space="preserve"> 0x80,</v>
      </c>
      <c r="X11" t="s">
        <v>0</v>
      </c>
      <c r="Y11" t="s">
        <v>1</v>
      </c>
      <c r="AC11" t="str">
        <f t="shared" si="6"/>
        <v xml:space="preserve"> 0x03,</v>
      </c>
      <c r="AD11" t="str">
        <f t="shared" si="7"/>
        <v>3,</v>
      </c>
      <c r="AE11" t="str">
        <f t="shared" si="8"/>
        <v>00000011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1</v>
      </c>
      <c r="AM11">
        <v>1</v>
      </c>
      <c r="AN11">
        <v>1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10000000</v>
      </c>
      <c r="AW11" t="str">
        <f t="shared" si="10"/>
        <v>128,</v>
      </c>
      <c r="AX11" t="str">
        <f t="shared" si="11"/>
        <v xml:space="preserve"> 0x80,</v>
      </c>
      <c r="AY11" t="s">
        <v>0</v>
      </c>
      <c r="AZ11" t="s">
        <v>1</v>
      </c>
      <c r="BD11" t="str">
        <f t="shared" si="12"/>
        <v xml:space="preserve"> 0xE0,</v>
      </c>
      <c r="BE11" t="str">
        <f t="shared" si="13"/>
        <v>224,</v>
      </c>
      <c r="BF11" t="str">
        <f t="shared" si="14"/>
        <v>11100000</v>
      </c>
      <c r="BG11">
        <v>1</v>
      </c>
      <c r="BH11">
        <v>1</v>
      </c>
      <c r="BI11">
        <v>1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0x1F,</v>
      </c>
      <c r="C12" t="str">
        <f t="shared" si="1"/>
        <v>31,</v>
      </c>
      <c r="D12" t="str">
        <f t="shared" si="2"/>
        <v>00011111</v>
      </c>
      <c r="E12">
        <v>0</v>
      </c>
      <c r="F12">
        <v>0</v>
      </c>
      <c r="G12">
        <v>0</v>
      </c>
      <c r="H12">
        <v>1</v>
      </c>
      <c r="I12">
        <v>1</v>
      </c>
      <c r="J12">
        <v>1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0x07,</v>
      </c>
      <c r="AD12" t="str">
        <f t="shared" si="7"/>
        <v>7,</v>
      </c>
      <c r="AE12" t="str">
        <f t="shared" si="8"/>
        <v>00000111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0xE0,</v>
      </c>
      <c r="BE12" t="str">
        <f t="shared" si="13"/>
        <v>224,</v>
      </c>
      <c r="BF12" t="str">
        <f t="shared" si="14"/>
        <v>11100000</v>
      </c>
      <c r="BG12">
        <v>1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0x0E,</v>
      </c>
      <c r="C13" t="str">
        <f t="shared" si="1"/>
        <v>14,</v>
      </c>
      <c r="D13" t="str">
        <f t="shared" si="2"/>
        <v>00001110</v>
      </c>
      <c r="E13">
        <v>0</v>
      </c>
      <c r="F13">
        <v>0</v>
      </c>
      <c r="G13">
        <v>0</v>
      </c>
      <c r="H13">
        <v>0</v>
      </c>
      <c r="I13">
        <v>1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0x0E,</v>
      </c>
      <c r="AD13" t="str">
        <f t="shared" si="7"/>
        <v>14,</v>
      </c>
      <c r="AE13" t="str">
        <f t="shared" si="8"/>
        <v>00001110</v>
      </c>
      <c r="AF13">
        <v>0</v>
      </c>
      <c r="AG13">
        <v>0</v>
      </c>
      <c r="AH13">
        <v>0</v>
      </c>
      <c r="AI13">
        <v>0</v>
      </c>
      <c r="AJ13">
        <v>1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0xE0,</v>
      </c>
      <c r="BE13" t="str">
        <f t="shared" si="13"/>
        <v>224,</v>
      </c>
      <c r="BF13" t="str">
        <f t="shared" si="14"/>
        <v>11100000</v>
      </c>
      <c r="BG13">
        <v>1</v>
      </c>
      <c r="BH13">
        <v>1</v>
      </c>
      <c r="BI13">
        <v>1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0x0E,</v>
      </c>
      <c r="C14" t="str">
        <f t="shared" si="1"/>
        <v>14,</v>
      </c>
      <c r="D14" t="str">
        <f t="shared" si="2"/>
        <v>00001110</v>
      </c>
      <c r="E14">
        <v>0</v>
      </c>
      <c r="F14">
        <v>0</v>
      </c>
      <c r="G14">
        <v>0</v>
      </c>
      <c r="H14">
        <v>0</v>
      </c>
      <c r="I14">
        <v>1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0x1C,</v>
      </c>
      <c r="AD14" t="str">
        <f t="shared" si="7"/>
        <v>28,</v>
      </c>
      <c r="AE14" t="str">
        <f t="shared" si="8"/>
        <v>00011100</v>
      </c>
      <c r="AF14">
        <v>0</v>
      </c>
      <c r="AG14">
        <v>0</v>
      </c>
      <c r="AH14">
        <v>0</v>
      </c>
      <c r="AI14">
        <v>1</v>
      </c>
      <c r="AJ14">
        <v>1</v>
      </c>
      <c r="AK14">
        <v>1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0xE0,</v>
      </c>
      <c r="BE14" t="str">
        <f t="shared" si="13"/>
        <v>224,</v>
      </c>
      <c r="BF14" t="str">
        <f t="shared" si="14"/>
        <v>11100000</v>
      </c>
      <c r="BG14">
        <v>1</v>
      </c>
      <c r="BH14">
        <v>1</v>
      </c>
      <c r="BI14">
        <v>1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0x0E,</v>
      </c>
      <c r="C15" t="str">
        <f t="shared" si="1"/>
        <v>14,</v>
      </c>
      <c r="D15" t="str">
        <f t="shared" si="2"/>
        <v>00001110</v>
      </c>
      <c r="E15">
        <v>0</v>
      </c>
      <c r="F15">
        <v>0</v>
      </c>
      <c r="G15">
        <v>0</v>
      </c>
      <c r="H15">
        <v>0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0x38,</v>
      </c>
      <c r="AD15" t="str">
        <f t="shared" si="7"/>
        <v>56,</v>
      </c>
      <c r="AE15" t="str">
        <f t="shared" si="8"/>
        <v>00111000</v>
      </c>
      <c r="AF15">
        <v>0</v>
      </c>
      <c r="AG15">
        <v>0</v>
      </c>
      <c r="AH15">
        <v>1</v>
      </c>
      <c r="AI15">
        <v>1</v>
      </c>
      <c r="AJ15">
        <v>1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0xE0,</v>
      </c>
      <c r="BE15" t="str">
        <f t="shared" si="13"/>
        <v>224,</v>
      </c>
      <c r="BF15" t="str">
        <f t="shared" si="14"/>
        <v>11100000</v>
      </c>
      <c r="BG15">
        <v>1</v>
      </c>
      <c r="BH15">
        <v>1</v>
      </c>
      <c r="BI15">
        <v>1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0x0E,</v>
      </c>
      <c r="C16" t="str">
        <f t="shared" si="1"/>
        <v>14,</v>
      </c>
      <c r="D16" t="str">
        <f t="shared" si="2"/>
        <v>00001110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0x70,</v>
      </c>
      <c r="AD16" t="str">
        <f t="shared" si="7"/>
        <v>112,</v>
      </c>
      <c r="AE16" t="str">
        <f t="shared" si="8"/>
        <v>01110000</v>
      </c>
      <c r="AF16">
        <v>0</v>
      </c>
      <c r="AG16">
        <v>1</v>
      </c>
      <c r="AH16">
        <v>1</v>
      </c>
      <c r="AI16">
        <v>1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0xE0,</v>
      </c>
      <c r="BE16" t="str">
        <f t="shared" si="13"/>
        <v>224,</v>
      </c>
      <c r="BF16" t="str">
        <f t="shared" si="14"/>
        <v>11100000</v>
      </c>
      <c r="BG16">
        <v>1</v>
      </c>
      <c r="BH16">
        <v>1</v>
      </c>
      <c r="BI16">
        <v>1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0x0E,</v>
      </c>
      <c r="C17" t="str">
        <f t="shared" si="1"/>
        <v>14,</v>
      </c>
      <c r="D17" t="str">
        <f t="shared" si="2"/>
        <v>00001110</v>
      </c>
      <c r="E17">
        <v>0</v>
      </c>
      <c r="F17">
        <v>0</v>
      </c>
      <c r="G17">
        <v>0</v>
      </c>
      <c r="H17">
        <v>0</v>
      </c>
      <c r="I17">
        <v>1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0xE0,</v>
      </c>
      <c r="AD17" t="str">
        <f t="shared" si="7"/>
        <v>224,</v>
      </c>
      <c r="AE17" t="str">
        <f t="shared" si="8"/>
        <v>11100000</v>
      </c>
      <c r="AF17">
        <v>1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0xE0,</v>
      </c>
      <c r="BE17" t="str">
        <f t="shared" si="13"/>
        <v>224,</v>
      </c>
      <c r="BF17" t="str">
        <f t="shared" si="14"/>
        <v>11100000</v>
      </c>
      <c r="BG17">
        <v>1</v>
      </c>
      <c r="BH17">
        <v>1</v>
      </c>
      <c r="BI17">
        <v>1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0x0E,</v>
      </c>
      <c r="C18" t="str">
        <f t="shared" si="1"/>
        <v>14,</v>
      </c>
      <c r="D18" t="str">
        <f t="shared" si="2"/>
        <v>00001110</v>
      </c>
      <c r="E18">
        <v>0</v>
      </c>
      <c r="F18">
        <v>0</v>
      </c>
      <c r="G18">
        <v>0</v>
      </c>
      <c r="H18">
        <v>0</v>
      </c>
      <c r="I18">
        <v>1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0xE0,</v>
      </c>
      <c r="AD18" t="str">
        <f t="shared" si="7"/>
        <v>224,</v>
      </c>
      <c r="AE18" t="str">
        <f t="shared" si="8"/>
        <v>11100000</v>
      </c>
      <c r="AF18">
        <v>1</v>
      </c>
      <c r="AG18">
        <v>1</v>
      </c>
      <c r="AH18">
        <v>1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1</v>
      </c>
      <c r="AP18">
        <v>1</v>
      </c>
      <c r="AQ18">
        <v>1</v>
      </c>
      <c r="AR18">
        <v>0</v>
      </c>
      <c r="AS18">
        <v>0</v>
      </c>
      <c r="AT18">
        <v>0</v>
      </c>
      <c r="AU18">
        <v>0</v>
      </c>
      <c r="AV18" t="str">
        <f t="shared" si="9"/>
        <v>01110000</v>
      </c>
      <c r="AW18" t="str">
        <f t="shared" si="10"/>
        <v>112,</v>
      </c>
      <c r="AX18" t="str">
        <f t="shared" si="11"/>
        <v xml:space="preserve"> 0x70,</v>
      </c>
      <c r="AY18" t="s">
        <v>0</v>
      </c>
      <c r="AZ18" t="s">
        <v>1</v>
      </c>
      <c r="BD18" t="str">
        <f t="shared" si="12"/>
        <v xml:space="preserve"> 0xE0,</v>
      </c>
      <c r="BE18" t="str">
        <f t="shared" si="13"/>
        <v>224,</v>
      </c>
      <c r="BF18" t="str">
        <f t="shared" si="14"/>
        <v>11100000</v>
      </c>
      <c r="BG18">
        <v>1</v>
      </c>
      <c r="BH18">
        <v>1</v>
      </c>
      <c r="BI18">
        <v>1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0x0E,</v>
      </c>
      <c r="C19" t="str">
        <f t="shared" si="1"/>
        <v>14,</v>
      </c>
      <c r="D19" t="str">
        <f t="shared" si="2"/>
        <v>00001110</v>
      </c>
      <c r="E19">
        <v>0</v>
      </c>
      <c r="F19">
        <v>0</v>
      </c>
      <c r="G19">
        <v>0</v>
      </c>
      <c r="H19">
        <v>0</v>
      </c>
      <c r="I19">
        <v>1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0xFF,</v>
      </c>
      <c r="AD19" t="str">
        <f t="shared" si="7"/>
        <v>255,</v>
      </c>
      <c r="AE19" t="str">
        <f t="shared" si="8"/>
        <v>11111111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0</v>
      </c>
      <c r="AS19">
        <v>0</v>
      </c>
      <c r="AT19">
        <v>0</v>
      </c>
      <c r="AU19">
        <v>0</v>
      </c>
      <c r="AV19" t="str">
        <f t="shared" si="9"/>
        <v>11110000</v>
      </c>
      <c r="AW19" t="str">
        <f t="shared" si="10"/>
        <v>240,</v>
      </c>
      <c r="AX19" t="str">
        <f t="shared" si="11"/>
        <v xml:space="preserve"> 0xF0,</v>
      </c>
      <c r="AY19" t="s">
        <v>0</v>
      </c>
      <c r="AZ19" t="s">
        <v>1</v>
      </c>
      <c r="BD19" t="str">
        <f t="shared" si="12"/>
        <v xml:space="preserve"> 0xFC,</v>
      </c>
      <c r="BE19" t="str">
        <f t="shared" si="13"/>
        <v>252,</v>
      </c>
      <c r="BF19" t="str">
        <f t="shared" si="14"/>
        <v>11111100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0x0E,</v>
      </c>
      <c r="C20" t="str">
        <f t="shared" si="1"/>
        <v>14,</v>
      </c>
      <c r="D20" t="str">
        <f t="shared" si="2"/>
        <v>00001110</v>
      </c>
      <c r="E20">
        <v>0</v>
      </c>
      <c r="F20">
        <v>0</v>
      </c>
      <c r="G20">
        <v>0</v>
      </c>
      <c r="H20">
        <v>0</v>
      </c>
      <c r="I20">
        <v>1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0xFF,</v>
      </c>
      <c r="AD20" t="str">
        <f t="shared" si="7"/>
        <v>255,</v>
      </c>
      <c r="AE20" t="str">
        <f t="shared" si="8"/>
        <v>11111111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0</v>
      </c>
      <c r="AS20">
        <v>0</v>
      </c>
      <c r="AT20">
        <v>0</v>
      </c>
      <c r="AU20">
        <v>0</v>
      </c>
      <c r="AV20" t="str">
        <f t="shared" si="9"/>
        <v>11110000</v>
      </c>
      <c r="AW20" t="str">
        <f t="shared" si="10"/>
        <v>240,</v>
      </c>
      <c r="AX20" t="str">
        <f t="shared" si="11"/>
        <v xml:space="preserve"> 0xF0,</v>
      </c>
      <c r="AY20" t="s">
        <v>0</v>
      </c>
      <c r="AZ20" t="s">
        <v>1</v>
      </c>
      <c r="BD20" t="str">
        <f t="shared" si="12"/>
        <v xml:space="preserve"> 0xFC,</v>
      </c>
      <c r="BE20" t="str">
        <f t="shared" si="13"/>
        <v>252,</v>
      </c>
      <c r="BF20" t="str">
        <f t="shared" si="14"/>
        <v>11111100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11,</v>
      </c>
      <c r="V22" t="str">
        <f>Y20&amp;DEC2HEX(U22,2)&amp;X20</f>
        <v xml:space="preserve"> 0x0B,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1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12,</v>
      </c>
      <c r="AW22" t="str">
        <f>AZ20&amp;DEC2HEX(AV22,2)&amp;AY20</f>
        <v xml:space="preserve"> 0x0C,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0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6,</v>
      </c>
      <c r="BX22" t="str">
        <f>CA20&amp;DEC2HEX(BW22,2)&amp;BZ20</f>
        <v xml:space="preserve"> 0x06,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11,224,224,224,224,224,224,224,224,224,224,113,192,59,128,31,0,14,0,14,0,14,0,14,0,14,0,14,0,14,0,14,0,//Y//89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12,255,240,255,240,224,112,0,112,0,224,1,192,3,128,7,0,14,0,28,0,56,0,112,0,224,0,224,112,255,240,255,240,//Z//90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6,252,0,252,0,224,0,224,0,224,0,224,0,224,0,224,0,224,0,224,0,224,0,224,0,224,0,224,0,252,0,252,0,//[//91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0x0B, 0xE0, 0xE0, 0xE0, 0xE0, 0xE0, 0xE0, 0xE0, 0xE0, 0xE0, 0xE0, 0x71, 0xC0, 0x3B, 0x80, 0x1F, 0x00, 0x0E, 0x00, 0x0E, 0x00, 0x0E, 0x00, 0x0E, 0x00, 0x0E, 0x00, 0x0E, 0x00, 0x0E, 0x00, 0x0E, 0x00,//Y//89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0x0C, 0xFF, 0xF0, 0xFF, 0xF0, 0xE0, 0x70, 0x00, 0x70, 0x00, 0xE0, 0x01, 0xC0, 0x03, 0x80, 0x07, 0x00, 0x0E, 0x00, 0x1C, 0x00, 0x38, 0x00, 0x70, 0x00, 0xE0, 0x00, 0xE0, 0x70, 0xFF, 0xF0, 0xFF, 0xF0,//Z//90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0x06, 0xFC, 0x00, 0xFC, 0x00, 0xE0, 0x00, 0xE0, 0x00, 0xE0, 0x00, 0xE0, 0x00, 0xE0, 0x00, 0xE0, 0x00, 0xE0, 0x00, 0xE0, 0x00, 0xE0, 0x00, 0xE0, 0x00, 0xE0, 0x00, 0xE0, 0x00, 0xFC, 0x00, 0xFC, 0x00,//[//91</v>
      </c>
    </row>
    <row r="28" spans="1:79">
      <c r="A28" s="1" t="str">
        <f>$B$24</f>
        <v>11,224,224,224,224,224,224,224,224,224,224,113,192,59,128,31,0,14,0,14,0,14,0,14,0,14,0,14,0,14,0,14,0,//Y//89</v>
      </c>
      <c r="E28" t="s">
        <v>4</v>
      </c>
      <c r="AB28" s="1" t="str">
        <f>$AC$24</f>
        <v>12,255,240,255,240,224,112,0,112,0,224,1,192,3,128,7,0,14,0,28,0,56,0,112,0,224,0,224,112,255,240,255,240,//Z//90</v>
      </c>
      <c r="AF28" t="s">
        <v>4</v>
      </c>
      <c r="BC28" s="1" t="str">
        <f>$BD$24</f>
        <v>6,252,0,252,0,224,0,224,0,224,0,224,0,224,0,224,0,224,0,224,0,224,0,224,0,224,0,224,0,252,0,252,0,//[//91</v>
      </c>
      <c r="BG28" t="s">
        <v>4</v>
      </c>
    </row>
    <row r="29" spans="1:79">
      <c r="A29" s="2" t="str">
        <f>$B$25</f>
        <v xml:space="preserve"> 0x0B, 0xE0, 0xE0, 0xE0, 0xE0, 0xE0, 0xE0, 0xE0, 0xE0, 0xE0, 0xE0, 0x71, 0xC0, 0x3B, 0x80, 0x1F, 0x00, 0x0E, 0x00, 0x0E, 0x00, 0x0E, 0x00, 0x0E, 0x00, 0x0E, 0x00, 0x0E, 0x00, 0x0E, 0x00, 0x0E, 0x00,//Y//89</v>
      </c>
      <c r="E29" t="s">
        <v>3</v>
      </c>
      <c r="AB29" s="2" t="str">
        <f>$AC$25</f>
        <v xml:space="preserve"> 0x0C, 0xFF, 0xF0, 0xFF, 0xF0, 0xE0, 0x70, 0x00, 0x70, 0x00, 0xE0, 0x01, 0xC0, 0x03, 0x80, 0x07, 0x00, 0x0E, 0x00, 0x1C, 0x00, 0x38, 0x00, 0x70, 0x00, 0xE0, 0x00, 0xE0, 0x70, 0xFF, 0xF0, 0xFF, 0xF0,//Z//90</v>
      </c>
      <c r="AF29" t="s">
        <v>3</v>
      </c>
      <c r="BC29" s="2" t="str">
        <f>$BD$25</f>
        <v xml:space="preserve"> 0x06, 0xFC, 0x00, 0xFC, 0x00, 0xE0, 0x00, 0xE0, 0x00, 0xE0, 0x00, 0xE0, 0x00, 0xE0, 0x00, 0xE0, 0x00, 0xE0, 0x00, 0xE0, 0x00, 0xE0, 0x00, 0xE0, 0x00, 0xE0, 0x00, 0xE0, 0x00, 0xFC, 0x00, 0xFC, 0x00,//[//91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7"/>
  <dimension ref="A4:CB29"/>
  <sheetViews>
    <sheetView workbookViewId="0">
      <selection activeCell="A21" sqref="A21:XFD22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92</v>
      </c>
      <c r="Z4" t="s">
        <v>5</v>
      </c>
      <c r="AB4" s="3">
        <v>93</v>
      </c>
      <c r="BA4" t="s">
        <v>5</v>
      </c>
      <c r="BC4" s="3">
        <v>94</v>
      </c>
      <c r="CB4" t="s">
        <v>5</v>
      </c>
    </row>
    <row r="5" spans="1:80">
      <c r="A5" s="3" t="s">
        <v>229</v>
      </c>
      <c r="B5" t="str">
        <f>Z5&amp;Y5&amp;BIN2HEX(D5,2)&amp;X5</f>
        <v xml:space="preserve"> 0x38,</v>
      </c>
      <c r="C5" t="str">
        <f>Z5&amp;BIN2DEC(D5)&amp;X5</f>
        <v>56,</v>
      </c>
      <c r="D5" t="str">
        <f>E5&amp;F5&amp;G5&amp;H5&amp;I5&amp;J5&amp;K5&amp;L5</f>
        <v>00111000</v>
      </c>
      <c r="E5">
        <v>0</v>
      </c>
      <c r="F5">
        <v>0</v>
      </c>
      <c r="G5">
        <v>1</v>
      </c>
      <c r="H5">
        <v>1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261</v>
      </c>
      <c r="AC5" t="str">
        <f>BA5&amp;AZ5&amp;BIN2HEX(AE5,2)&amp;AY5</f>
        <v xml:space="preserve"> 0xFC,</v>
      </c>
      <c r="AD5" t="str">
        <f>BA5&amp;BIN2DEC(AE5)&amp;AY5</f>
        <v>252,</v>
      </c>
      <c r="AE5" t="str">
        <f>AF5&amp;AG5&amp;AH5&amp;AI5&amp;AJ5&amp;AK5&amp;AL5&amp;AM5</f>
        <v>11111100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262</v>
      </c>
      <c r="BD5" t="str">
        <f>CB5&amp;CA5&amp;BIN2HEX(BF5,2)&amp;BZ5</f>
        <v xml:space="preserve"> 0x1C,</v>
      </c>
      <c r="BE5" t="str">
        <f>CB5&amp;BIN2DEC(BF5)&amp;BZ5</f>
        <v>28,</v>
      </c>
      <c r="BF5" t="str">
        <f>BG5&amp;BH5&amp;BI5&amp;BJ5&amp;BK5&amp;BL5&amp;BM5&amp;BN5</f>
        <v>00011100</v>
      </c>
      <c r="BG5">
        <v>0</v>
      </c>
      <c r="BH5">
        <v>0</v>
      </c>
      <c r="BI5">
        <v>0</v>
      </c>
      <c r="BJ5">
        <v>1</v>
      </c>
      <c r="BK5">
        <v>1</v>
      </c>
      <c r="BL5">
        <v>1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0x38,</v>
      </c>
      <c r="C6" t="str">
        <f t="shared" ref="C6:C20" si="1">Z6&amp;BIN2DEC(D6)&amp;X6</f>
        <v>56,</v>
      </c>
      <c r="D6" t="str">
        <f t="shared" ref="D6:D20" si="2">E6&amp;F6&amp;G6&amp;H6&amp;I6&amp;J6&amp;K6&amp;L6</f>
        <v>00111000</v>
      </c>
      <c r="E6">
        <v>0</v>
      </c>
      <c r="F6">
        <v>0</v>
      </c>
      <c r="G6">
        <v>1</v>
      </c>
      <c r="H6">
        <v>1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0xFC,</v>
      </c>
      <c r="AD6" t="str">
        <f t="shared" ref="AD6:AD20" si="7">BA6&amp;BIN2DEC(AE6)&amp;AY6</f>
        <v>252,</v>
      </c>
      <c r="AE6" t="str">
        <f t="shared" ref="AE6:AE20" si="8">AF6&amp;AG6&amp;AH6&amp;AI6&amp;AJ6&amp;AK6&amp;AL6&amp;AM6</f>
        <v>11111100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0x3E,</v>
      </c>
      <c r="BE6" t="str">
        <f t="shared" ref="BE6:BE20" si="13">CB6&amp;BIN2DEC(BF6)&amp;BZ6</f>
        <v>62,</v>
      </c>
      <c r="BF6" t="str">
        <f t="shared" ref="BF6:BF20" si="14">BG6&amp;BH6&amp;BI6&amp;BJ6&amp;BK6&amp;BL6&amp;BM6&amp;BN6</f>
        <v>00111110</v>
      </c>
      <c r="BG6">
        <v>0</v>
      </c>
      <c r="BH6">
        <v>0</v>
      </c>
      <c r="BI6">
        <v>1</v>
      </c>
      <c r="BJ6">
        <v>1</v>
      </c>
      <c r="BK6">
        <v>1</v>
      </c>
      <c r="BL6">
        <v>1</v>
      </c>
      <c r="BM6">
        <v>1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0x38,</v>
      </c>
      <c r="C7" t="str">
        <f t="shared" si="1"/>
        <v>56,</v>
      </c>
      <c r="D7" t="str">
        <f t="shared" si="2"/>
        <v>00111000</v>
      </c>
      <c r="E7">
        <v>0</v>
      </c>
      <c r="F7">
        <v>0</v>
      </c>
      <c r="G7">
        <v>1</v>
      </c>
      <c r="H7">
        <v>1</v>
      </c>
      <c r="I7">
        <v>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0x1C,</v>
      </c>
      <c r="AD7" t="str">
        <f t="shared" si="7"/>
        <v>28,</v>
      </c>
      <c r="AE7" t="str">
        <f t="shared" si="8"/>
        <v>00011100</v>
      </c>
      <c r="AF7">
        <v>0</v>
      </c>
      <c r="AG7">
        <v>0</v>
      </c>
      <c r="AH7">
        <v>0</v>
      </c>
      <c r="AI7">
        <v>1</v>
      </c>
      <c r="AJ7">
        <v>1</v>
      </c>
      <c r="AK7">
        <v>1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0x77,</v>
      </c>
      <c r="BE7" t="str">
        <f t="shared" si="13"/>
        <v>119,</v>
      </c>
      <c r="BF7" t="str">
        <f t="shared" si="14"/>
        <v>01110111</v>
      </c>
      <c r="BG7">
        <v>0</v>
      </c>
      <c r="BH7">
        <v>1</v>
      </c>
      <c r="BI7">
        <v>1</v>
      </c>
      <c r="BJ7">
        <v>1</v>
      </c>
      <c r="BK7">
        <v>0</v>
      </c>
      <c r="BL7">
        <v>1</v>
      </c>
      <c r="BM7">
        <v>1</v>
      </c>
      <c r="BN7">
        <v>1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0x38,</v>
      </c>
      <c r="C8" t="str">
        <f t="shared" si="1"/>
        <v>56,</v>
      </c>
      <c r="D8" t="str">
        <f t="shared" si="2"/>
        <v>00111000</v>
      </c>
      <c r="E8">
        <v>0</v>
      </c>
      <c r="F8">
        <v>0</v>
      </c>
      <c r="G8">
        <v>1</v>
      </c>
      <c r="H8">
        <v>1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0x1C,</v>
      </c>
      <c r="AD8" t="str">
        <f t="shared" si="7"/>
        <v>28,</v>
      </c>
      <c r="AE8" t="str">
        <f t="shared" si="8"/>
        <v>00011100</v>
      </c>
      <c r="AF8">
        <v>0</v>
      </c>
      <c r="AG8">
        <v>0</v>
      </c>
      <c r="AH8">
        <v>0</v>
      </c>
      <c r="AI8">
        <v>1</v>
      </c>
      <c r="AJ8">
        <v>1</v>
      </c>
      <c r="AK8">
        <v>1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0xE3,</v>
      </c>
      <c r="BE8" t="str">
        <f t="shared" si="13"/>
        <v>227,</v>
      </c>
      <c r="BF8" t="str">
        <f t="shared" si="14"/>
        <v>11100011</v>
      </c>
      <c r="BG8">
        <v>1</v>
      </c>
      <c r="BH8">
        <v>1</v>
      </c>
      <c r="BI8">
        <v>1</v>
      </c>
      <c r="BJ8">
        <v>0</v>
      </c>
      <c r="BK8">
        <v>0</v>
      </c>
      <c r="BL8">
        <v>0</v>
      </c>
      <c r="BM8">
        <v>1</v>
      </c>
      <c r="BN8">
        <v>1</v>
      </c>
      <c r="BO8">
        <v>1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10000000</v>
      </c>
      <c r="BX8" t="str">
        <f t="shared" si="16"/>
        <v>128,</v>
      </c>
      <c r="BY8" t="str">
        <f t="shared" si="17"/>
        <v xml:space="preserve"> 0x80,</v>
      </c>
      <c r="BZ8" t="s">
        <v>0</v>
      </c>
      <c r="CA8" t="s">
        <v>1</v>
      </c>
    </row>
    <row r="9" spans="1:80">
      <c r="B9" t="str">
        <f t="shared" si="0"/>
        <v xml:space="preserve"> 0x38,</v>
      </c>
      <c r="C9" t="str">
        <f t="shared" si="1"/>
        <v>56,</v>
      </c>
      <c r="D9" t="str">
        <f t="shared" si="2"/>
        <v>00111000</v>
      </c>
      <c r="E9">
        <v>0</v>
      </c>
      <c r="F9">
        <v>0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0x1C,</v>
      </c>
      <c r="AD9" t="str">
        <f t="shared" si="7"/>
        <v>28,</v>
      </c>
      <c r="AE9" t="str">
        <f t="shared" si="8"/>
        <v>00011100</v>
      </c>
      <c r="AF9">
        <v>0</v>
      </c>
      <c r="AG9">
        <v>0</v>
      </c>
      <c r="AH9">
        <v>0</v>
      </c>
      <c r="AI9">
        <v>1</v>
      </c>
      <c r="AJ9">
        <v>1</v>
      </c>
      <c r="AK9">
        <v>1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0xE3,</v>
      </c>
      <c r="BE9" t="str">
        <f t="shared" si="13"/>
        <v>227,</v>
      </c>
      <c r="BF9" t="str">
        <f t="shared" si="14"/>
        <v>11100011</v>
      </c>
      <c r="BG9">
        <v>1</v>
      </c>
      <c r="BH9">
        <v>1</v>
      </c>
      <c r="BI9">
        <v>1</v>
      </c>
      <c r="BJ9">
        <v>0</v>
      </c>
      <c r="BK9">
        <v>0</v>
      </c>
      <c r="BL9">
        <v>0</v>
      </c>
      <c r="BM9">
        <v>1</v>
      </c>
      <c r="BN9">
        <v>1</v>
      </c>
      <c r="BO9">
        <v>1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10000000</v>
      </c>
      <c r="BX9" t="str">
        <f t="shared" si="16"/>
        <v>128,</v>
      </c>
      <c r="BY9" t="str">
        <f t="shared" si="17"/>
        <v xml:space="preserve"> 0x80,</v>
      </c>
      <c r="BZ9" t="s">
        <v>0</v>
      </c>
      <c r="CA9" t="s">
        <v>1</v>
      </c>
    </row>
    <row r="10" spans="1:80">
      <c r="B10" t="str">
        <f t="shared" si="0"/>
        <v xml:space="preserve"> 0x70,</v>
      </c>
      <c r="C10" t="str">
        <f t="shared" si="1"/>
        <v>112,</v>
      </c>
      <c r="D10" t="str">
        <f t="shared" si="2"/>
        <v>01110000</v>
      </c>
      <c r="E10">
        <v>0</v>
      </c>
      <c r="F10">
        <v>1</v>
      </c>
      <c r="G10">
        <v>1</v>
      </c>
      <c r="H10">
        <v>1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0x1C,</v>
      </c>
      <c r="AD10" t="str">
        <f t="shared" si="7"/>
        <v>28,</v>
      </c>
      <c r="AE10" t="str">
        <f t="shared" si="8"/>
        <v>00011100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0x00,</v>
      </c>
      <c r="BE10" t="str">
        <f t="shared" si="13"/>
        <v>0,</v>
      </c>
      <c r="BF10" t="str">
        <f t="shared" si="14"/>
        <v>00000000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0x70,</v>
      </c>
      <c r="C11" t="str">
        <f t="shared" si="1"/>
        <v>112,</v>
      </c>
      <c r="D11" t="str">
        <f t="shared" si="2"/>
        <v>01110000</v>
      </c>
      <c r="E11">
        <v>0</v>
      </c>
      <c r="F11">
        <v>1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0x1C,</v>
      </c>
      <c r="AD11" t="str">
        <f t="shared" si="7"/>
        <v>28,</v>
      </c>
      <c r="AE11" t="str">
        <f t="shared" si="8"/>
        <v>00011100</v>
      </c>
      <c r="AF11">
        <v>0</v>
      </c>
      <c r="AG11">
        <v>0</v>
      </c>
      <c r="AH11">
        <v>0</v>
      </c>
      <c r="AI11">
        <v>1</v>
      </c>
      <c r="AJ11">
        <v>1</v>
      </c>
      <c r="AK11">
        <v>1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0x00,</v>
      </c>
      <c r="BE11" t="str">
        <f t="shared" si="13"/>
        <v>0,</v>
      </c>
      <c r="BF11" t="str">
        <f t="shared" si="14"/>
        <v>00000000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0x70,</v>
      </c>
      <c r="C12" t="str">
        <f t="shared" si="1"/>
        <v>112,</v>
      </c>
      <c r="D12" t="str">
        <f t="shared" si="2"/>
        <v>01110000</v>
      </c>
      <c r="E12">
        <v>0</v>
      </c>
      <c r="F12">
        <v>1</v>
      </c>
      <c r="G12">
        <v>1</v>
      </c>
      <c r="H12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0x1C,</v>
      </c>
      <c r="AD12" t="str">
        <f t="shared" si="7"/>
        <v>28,</v>
      </c>
      <c r="AE12" t="str">
        <f t="shared" si="8"/>
        <v>00011100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0x00,</v>
      </c>
      <c r="BE12" t="str">
        <f t="shared" si="13"/>
        <v>0,</v>
      </c>
      <c r="BF12" t="str">
        <f t="shared" si="14"/>
        <v>00000000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0x70,</v>
      </c>
      <c r="C13" t="str">
        <f t="shared" si="1"/>
        <v>112,</v>
      </c>
      <c r="D13" t="str">
        <f t="shared" si="2"/>
        <v>01110000</v>
      </c>
      <c r="E13">
        <v>0</v>
      </c>
      <c r="F13">
        <v>1</v>
      </c>
      <c r="G13">
        <v>1</v>
      </c>
      <c r="H1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0x1C,</v>
      </c>
      <c r="AD13" t="str">
        <f t="shared" si="7"/>
        <v>28,</v>
      </c>
      <c r="AE13" t="str">
        <f t="shared" si="8"/>
        <v>00011100</v>
      </c>
      <c r="AF13">
        <v>0</v>
      </c>
      <c r="AG13">
        <v>0</v>
      </c>
      <c r="AH13">
        <v>0</v>
      </c>
      <c r="AI13">
        <v>1</v>
      </c>
      <c r="AJ13">
        <v>1</v>
      </c>
      <c r="AK13">
        <v>1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0x00,</v>
      </c>
      <c r="BE13" t="str">
        <f t="shared" si="13"/>
        <v>0,</v>
      </c>
      <c r="BF13" t="str">
        <f t="shared" si="14"/>
        <v>00000000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0x70,</v>
      </c>
      <c r="C14" t="str">
        <f t="shared" si="1"/>
        <v>112,</v>
      </c>
      <c r="D14" t="str">
        <f t="shared" si="2"/>
        <v>01110000</v>
      </c>
      <c r="E14">
        <v>0</v>
      </c>
      <c r="F14">
        <v>1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0x1C,</v>
      </c>
      <c r="AD14" t="str">
        <f t="shared" si="7"/>
        <v>28,</v>
      </c>
      <c r="AE14" t="str">
        <f t="shared" si="8"/>
        <v>00011100</v>
      </c>
      <c r="AF14">
        <v>0</v>
      </c>
      <c r="AG14">
        <v>0</v>
      </c>
      <c r="AH14">
        <v>0</v>
      </c>
      <c r="AI14">
        <v>1</v>
      </c>
      <c r="AJ14">
        <v>1</v>
      </c>
      <c r="AK14">
        <v>1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0x00,</v>
      </c>
      <c r="BE14" t="str">
        <f t="shared" si="13"/>
        <v>0,</v>
      </c>
      <c r="BF14" t="str">
        <f t="shared" si="14"/>
        <v>00000000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0x70,</v>
      </c>
      <c r="C15" t="str">
        <f t="shared" si="1"/>
        <v>112,</v>
      </c>
      <c r="D15" t="str">
        <f t="shared" si="2"/>
        <v>01110000</v>
      </c>
      <c r="E15">
        <v>0</v>
      </c>
      <c r="F15">
        <v>1</v>
      </c>
      <c r="G15">
        <v>1</v>
      </c>
      <c r="H15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0x1C,</v>
      </c>
      <c r="AD15" t="str">
        <f t="shared" si="7"/>
        <v>28,</v>
      </c>
      <c r="AE15" t="str">
        <f t="shared" si="8"/>
        <v>00011100</v>
      </c>
      <c r="AF15">
        <v>0</v>
      </c>
      <c r="AG15">
        <v>0</v>
      </c>
      <c r="AH15">
        <v>0</v>
      </c>
      <c r="AI15">
        <v>1</v>
      </c>
      <c r="AJ15">
        <v>1</v>
      </c>
      <c r="AK15">
        <v>1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0x00,</v>
      </c>
      <c r="BE15" t="str">
        <f t="shared" si="13"/>
        <v>0,</v>
      </c>
      <c r="BF15" t="str">
        <f t="shared" si="14"/>
        <v>00000000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0xE0,</v>
      </c>
      <c r="C16" t="str">
        <f t="shared" si="1"/>
        <v>224,</v>
      </c>
      <c r="D16" t="str">
        <f t="shared" si="2"/>
        <v>11100000</v>
      </c>
      <c r="E16">
        <v>1</v>
      </c>
      <c r="F16">
        <v>1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0x1C,</v>
      </c>
      <c r="AD16" t="str">
        <f t="shared" si="7"/>
        <v>28,</v>
      </c>
      <c r="AE16" t="str">
        <f t="shared" si="8"/>
        <v>00011100</v>
      </c>
      <c r="AF16">
        <v>0</v>
      </c>
      <c r="AG16">
        <v>0</v>
      </c>
      <c r="AH16">
        <v>0</v>
      </c>
      <c r="AI16">
        <v>1</v>
      </c>
      <c r="AJ16">
        <v>1</v>
      </c>
      <c r="AK16">
        <v>1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0x00,</v>
      </c>
      <c r="BE16" t="str">
        <f t="shared" si="13"/>
        <v>0,</v>
      </c>
      <c r="BF16" t="str">
        <f t="shared" si="14"/>
        <v>00000000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0xE0,</v>
      </c>
      <c r="C17" t="str">
        <f t="shared" si="1"/>
        <v>224,</v>
      </c>
      <c r="D17" t="str">
        <f t="shared" si="2"/>
        <v>11100000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0x1C,</v>
      </c>
      <c r="AD17" t="str">
        <f t="shared" si="7"/>
        <v>28,</v>
      </c>
      <c r="AE17" t="str">
        <f t="shared" si="8"/>
        <v>00011100</v>
      </c>
      <c r="AF17">
        <v>0</v>
      </c>
      <c r="AG17">
        <v>0</v>
      </c>
      <c r="AH17">
        <v>0</v>
      </c>
      <c r="AI17">
        <v>1</v>
      </c>
      <c r="AJ17">
        <v>1</v>
      </c>
      <c r="AK17">
        <v>1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0x00,</v>
      </c>
      <c r="BE17" t="str">
        <f t="shared" si="13"/>
        <v>0,</v>
      </c>
      <c r="BF17" t="str">
        <f t="shared" si="14"/>
        <v>00000000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0xE0,</v>
      </c>
      <c r="C18" t="str">
        <f t="shared" si="1"/>
        <v>224,</v>
      </c>
      <c r="D18" t="str">
        <f t="shared" si="2"/>
        <v>11100000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0x1C,</v>
      </c>
      <c r="AD18" t="str">
        <f t="shared" si="7"/>
        <v>28,</v>
      </c>
      <c r="AE18" t="str">
        <f t="shared" si="8"/>
        <v>00011100</v>
      </c>
      <c r="AF18">
        <v>0</v>
      </c>
      <c r="AG18">
        <v>0</v>
      </c>
      <c r="AH18">
        <v>0</v>
      </c>
      <c r="AI18">
        <v>1</v>
      </c>
      <c r="AJ18">
        <v>1</v>
      </c>
      <c r="AK18">
        <v>1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0x00,</v>
      </c>
      <c r="BE18" t="str">
        <f t="shared" si="13"/>
        <v>0,</v>
      </c>
      <c r="BF18" t="str">
        <f t="shared" si="14"/>
        <v>00000000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0xE0,</v>
      </c>
      <c r="C19" t="str">
        <f t="shared" si="1"/>
        <v>224,</v>
      </c>
      <c r="D19" t="str">
        <f t="shared" si="2"/>
        <v>11100000</v>
      </c>
      <c r="E19">
        <v>1</v>
      </c>
      <c r="F19">
        <v>1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0xFC,</v>
      </c>
      <c r="AD19" t="str">
        <f t="shared" si="7"/>
        <v>252,</v>
      </c>
      <c r="AE19" t="str">
        <f t="shared" si="8"/>
        <v>11111100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0x00,</v>
      </c>
      <c r="BE19" t="str">
        <f t="shared" si="13"/>
        <v>0,</v>
      </c>
      <c r="BF19" t="str">
        <f t="shared" si="14"/>
        <v>00000000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0xE0,</v>
      </c>
      <c r="C20" t="str">
        <f t="shared" si="1"/>
        <v>224,</v>
      </c>
      <c r="D20" t="str">
        <f t="shared" si="2"/>
        <v>11100000</v>
      </c>
      <c r="E20">
        <v>1</v>
      </c>
      <c r="F20">
        <v>1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0xFC,</v>
      </c>
      <c r="AD20" t="str">
        <f t="shared" si="7"/>
        <v>252,</v>
      </c>
      <c r="AE20" t="str">
        <f t="shared" si="8"/>
        <v>11111100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0x00,</v>
      </c>
      <c r="BE20" t="str">
        <f t="shared" si="13"/>
        <v>0,</v>
      </c>
      <c r="BF20" t="str">
        <f t="shared" si="14"/>
        <v>00000000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0</v>
      </c>
      <c r="K22">
        <f t="shared" si="18"/>
        <v>0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5,</v>
      </c>
      <c r="V22" t="str">
        <f>Y20&amp;DEC2HEX(U22,2)&amp;X20</f>
        <v xml:space="preserve"> 0x05,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0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6,</v>
      </c>
      <c r="AW22" t="str">
        <f>AZ20&amp;DEC2HEX(AV22,2)&amp;AY20</f>
        <v xml:space="preserve"> 0x06,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9,</v>
      </c>
      <c r="BX22" t="str">
        <f>CA20&amp;DEC2HEX(BW22,2)&amp;BZ20</f>
        <v xml:space="preserve"> 0x09,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5,56,0,56,0,56,0,56,0,56,0,112,0,112,0,112,0,112,0,112,0,112,0,224,0,224,0,224,0,224,0,224,0,/////92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6,252,0,252,0,28,0,28,0,28,0,28,0,28,0,28,0,28,0,28,0,28,0,28,0,28,0,28,0,252,0,252,0,//]//93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9,28,0,62,0,119,0,227,128,227,128,0,0,0,0,0,0,0,0,0,0,0,0,0,0,0,0,0,0,0,0,0,0,//^//94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0x05, 0x38, 0x00, 0x38, 0x00, 0x38, 0x00, 0x38, 0x00, 0x38, 0x00, 0x70, 0x00, 0x70, 0x00, 0x70, 0x00, 0x70, 0x00, 0x70, 0x00, 0x70, 0x00, 0xE0, 0x00, 0xE0, 0x00, 0xE0, 0x00, 0xE0, 0x00, 0xE0, 0x00,/////92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0x06, 0xFC, 0x00, 0xFC, 0x00, 0x1C, 0x00, 0x1C, 0x00, 0x1C, 0x00, 0x1C, 0x00, 0x1C, 0x00, 0x1C, 0x00, 0x1C, 0x00, 0x1C, 0x00, 0x1C, 0x00, 0x1C, 0x00, 0x1C, 0x00, 0x1C, 0x00, 0xFC, 0x00, 0xFC, 0x00,//]//93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0x09, 0x1C, 0x00, 0x3E, 0x00, 0x77, 0x00, 0xE3, 0x80, 0xE3, 0x80, 0x00, 0x00, 0x00, 0x00, 0x00, 0x00, 0x00, 0x00, 0x00, 0x00, 0x00, 0x00, 0x00, 0x00, 0x00, 0x00, 0x00, 0x00, 0x00, 0x00, 0x00, 0x00,//^//94</v>
      </c>
    </row>
    <row r="28" spans="1:79">
      <c r="A28" s="1" t="str">
        <f>$B$24</f>
        <v>5,56,0,56,0,56,0,56,0,56,0,112,0,112,0,112,0,112,0,112,0,112,0,224,0,224,0,224,0,224,0,224,0,/////92</v>
      </c>
      <c r="E28" t="s">
        <v>4</v>
      </c>
      <c r="AB28" s="1" t="str">
        <f>$AC$24</f>
        <v>6,252,0,252,0,28,0,28,0,28,0,28,0,28,0,28,0,28,0,28,0,28,0,28,0,28,0,28,0,252,0,252,0,//]//93</v>
      </c>
      <c r="AF28" t="s">
        <v>4</v>
      </c>
      <c r="BC28" s="1" t="str">
        <f>$BD$24</f>
        <v>9,28,0,62,0,119,0,227,128,227,128,0,0,0,0,0,0,0,0,0,0,0,0,0,0,0,0,0,0,0,0,0,0,//^//94</v>
      </c>
      <c r="BG28" t="s">
        <v>4</v>
      </c>
    </row>
    <row r="29" spans="1:79">
      <c r="A29" s="2" t="str">
        <f>$B$25</f>
        <v xml:space="preserve"> 0x05, 0x38, 0x00, 0x38, 0x00, 0x38, 0x00, 0x38, 0x00, 0x38, 0x00, 0x70, 0x00, 0x70, 0x00, 0x70, 0x00, 0x70, 0x00, 0x70, 0x00, 0x70, 0x00, 0xE0, 0x00, 0xE0, 0x00, 0xE0, 0x00, 0xE0, 0x00, 0xE0, 0x00,/////92</v>
      </c>
      <c r="E29" t="s">
        <v>3</v>
      </c>
      <c r="AB29" s="2" t="str">
        <f>$AC$25</f>
        <v xml:space="preserve"> 0x06, 0xFC, 0x00, 0xFC, 0x00, 0x1C, 0x00, 0x1C, 0x00, 0x1C, 0x00, 0x1C, 0x00, 0x1C, 0x00, 0x1C, 0x00, 0x1C, 0x00, 0x1C, 0x00, 0x1C, 0x00, 0x1C, 0x00, 0x1C, 0x00, 0x1C, 0x00, 0xFC, 0x00, 0xFC, 0x00,//]//93</v>
      </c>
      <c r="AF29" t="s">
        <v>3</v>
      </c>
      <c r="BC29" s="2" t="str">
        <f>$BD$25</f>
        <v xml:space="preserve"> 0x09, 0x1C, 0x00, 0x3E, 0x00, 0x77, 0x00, 0xE3, 0x80, 0xE3, 0x80, 0x00, 0x00, 0x00, 0x00, 0x00, 0x00, 0x00, 0x00, 0x00, 0x00, 0x00, 0x00, 0x00, 0x00, 0x00, 0x00, 0x00, 0x00, 0x00, 0x00, 0x00, 0x00,//^//94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E5:N5 E6:F20 G8:L17 G20:L20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9 O13:O16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41" priority="11" operator="greaterThan">
      <formula>1</formula>
    </cfRule>
  </conditionalFormatting>
  <conditionalFormatting sqref="AH6:AO7 AH18:AO19 AI8:AM12 AF5:AO5 AI13:AL15 AF6:AG20 AH8:AH17 AH20 AI16 AM13:AM17 AN8:AO17 AM20:AO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40" priority="6" operator="greaterThan">
      <formula>1</formula>
    </cfRule>
  </conditionalFormatting>
  <conditionalFormatting sqref="BG6:BH20 BI6:BP7 BJ13:BM13 BJ8:BN12 BG5:BP5 BK14:BM16 BI8:BI13 BI14:BJ17 BN13:BN17 BO8:BP17 BI18:BP20 BL17:BM17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3:BN17 BG18:BP20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39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8"/>
  <dimension ref="A4:CB29"/>
  <sheetViews>
    <sheetView workbookViewId="0">
      <selection activeCell="L28" sqref="L28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95</v>
      </c>
      <c r="Z4" t="s">
        <v>5</v>
      </c>
      <c r="AB4" s="3">
        <v>96</v>
      </c>
      <c r="BA4" t="s">
        <v>5</v>
      </c>
      <c r="BC4" s="3">
        <v>97</v>
      </c>
      <c r="CB4" t="s">
        <v>5</v>
      </c>
    </row>
    <row r="5" spans="1:80">
      <c r="A5" s="3" t="s">
        <v>263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264</v>
      </c>
      <c r="AC5" t="str">
        <f>BA5&amp;AZ5&amp;BIN2HEX(AE5,2)&amp;AY5</f>
        <v xml:space="preserve"> 0xE0,</v>
      </c>
      <c r="AD5" t="str">
        <f>BA5&amp;BIN2DEC(AE5)&amp;AY5</f>
        <v>224,</v>
      </c>
      <c r="AE5" t="str">
        <f>AF5&amp;AG5&amp;AH5&amp;AI5&amp;AJ5&amp;AK5&amp;AL5&amp;AM5</f>
        <v>11100000</v>
      </c>
      <c r="AF5">
        <v>1</v>
      </c>
      <c r="AG5">
        <v>1</v>
      </c>
      <c r="AH5">
        <v>1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265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0x70,</v>
      </c>
      <c r="AD6" t="str">
        <f t="shared" ref="AD6:AD20" si="7">BA6&amp;BIN2DEC(AE6)&amp;AY6</f>
        <v>112,</v>
      </c>
      <c r="AE6" t="str">
        <f t="shared" ref="AE6:AE20" si="8">AF6&amp;AG6&amp;AH6&amp;AI6&amp;AJ6&amp;AK6&amp;AL6&amp;AM6</f>
        <v>01110000</v>
      </c>
      <c r="AF6">
        <v>0</v>
      </c>
      <c r="AG6">
        <v>1</v>
      </c>
      <c r="AH6">
        <v>1</v>
      </c>
      <c r="AI6">
        <v>1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0x38,</v>
      </c>
      <c r="AD7" t="str">
        <f t="shared" si="7"/>
        <v>56,</v>
      </c>
      <c r="AE7" t="str">
        <f t="shared" si="8"/>
        <v>00111000</v>
      </c>
      <c r="AF7">
        <v>0</v>
      </c>
      <c r="AG7">
        <v>0</v>
      </c>
      <c r="AH7">
        <v>1</v>
      </c>
      <c r="AI7">
        <v>1</v>
      </c>
      <c r="AJ7">
        <v>1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0x1C,</v>
      </c>
      <c r="AD8" t="str">
        <f t="shared" si="7"/>
        <v>28,</v>
      </c>
      <c r="AE8" t="str">
        <f t="shared" si="8"/>
        <v>00011100</v>
      </c>
      <c r="AF8">
        <v>0</v>
      </c>
      <c r="AG8">
        <v>0</v>
      </c>
      <c r="AH8">
        <v>0</v>
      </c>
      <c r="AI8">
        <v>1</v>
      </c>
      <c r="AJ8">
        <v>1</v>
      </c>
      <c r="AK8">
        <v>1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0x00,</v>
      </c>
      <c r="C9" t="str">
        <f t="shared" si="1"/>
        <v>0,</v>
      </c>
      <c r="D9" t="str">
        <f t="shared" si="2"/>
        <v>00000000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0x00,</v>
      </c>
      <c r="AD9" t="str">
        <f t="shared" si="7"/>
        <v>0,</v>
      </c>
      <c r="AE9" t="str">
        <f t="shared" si="8"/>
        <v>00000000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0x3F,</v>
      </c>
      <c r="BE9" t="str">
        <f t="shared" si="13"/>
        <v>63,</v>
      </c>
      <c r="BF9" t="str">
        <f t="shared" si="14"/>
        <v>00111111</v>
      </c>
      <c r="BG9">
        <v>0</v>
      </c>
      <c r="BH9">
        <v>0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10000000</v>
      </c>
      <c r="BX9" t="str">
        <f t="shared" si="16"/>
        <v>128,</v>
      </c>
      <c r="BY9" t="str">
        <f t="shared" si="17"/>
        <v xml:space="preserve"> 0x80,</v>
      </c>
      <c r="BZ9" t="s">
        <v>0</v>
      </c>
      <c r="CA9" t="s">
        <v>1</v>
      </c>
    </row>
    <row r="10" spans="1:80">
      <c r="B10" t="str">
        <f t="shared" si="0"/>
        <v xml:space="preserve"> 0x00,</v>
      </c>
      <c r="C10" t="str">
        <f t="shared" si="1"/>
        <v>0,</v>
      </c>
      <c r="D10" t="str">
        <f t="shared" si="2"/>
        <v>00000000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0x00,</v>
      </c>
      <c r="AD10" t="str">
        <f t="shared" si="7"/>
        <v>0,</v>
      </c>
      <c r="AE10" t="str">
        <f t="shared" si="8"/>
        <v>00000000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0x7F,</v>
      </c>
      <c r="BE10" t="str">
        <f t="shared" si="13"/>
        <v>127,</v>
      </c>
      <c r="BF10" t="str">
        <f t="shared" si="14"/>
        <v>01111111</v>
      </c>
      <c r="BG10">
        <v>0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11000000</v>
      </c>
      <c r="BX10" t="str">
        <f t="shared" si="16"/>
        <v>192,</v>
      </c>
      <c r="BY10" t="str">
        <f t="shared" si="17"/>
        <v xml:space="preserve"> 0xC0,</v>
      </c>
      <c r="BZ10" t="s">
        <v>0</v>
      </c>
      <c r="CA10" t="s">
        <v>1</v>
      </c>
    </row>
    <row r="11" spans="1:80">
      <c r="B11" t="str">
        <f t="shared" si="0"/>
        <v xml:space="preserve"> 0x00,</v>
      </c>
      <c r="C11" t="str">
        <f t="shared" si="1"/>
        <v>0,</v>
      </c>
      <c r="D11" t="str">
        <f t="shared" si="2"/>
        <v>00000000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0x00,</v>
      </c>
      <c r="AD11" t="str">
        <f t="shared" si="7"/>
        <v>0,</v>
      </c>
      <c r="AE11" t="str">
        <f t="shared" si="8"/>
        <v>00000000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0x03,</v>
      </c>
      <c r="BE11" t="str">
        <f t="shared" si="13"/>
        <v>3,</v>
      </c>
      <c r="BF11" t="str">
        <f t="shared" si="14"/>
        <v>00000011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1</v>
      </c>
      <c r="BN11">
        <v>1</v>
      </c>
      <c r="BO11">
        <v>1</v>
      </c>
      <c r="BP11">
        <v>1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11000000</v>
      </c>
      <c r="BX11" t="str">
        <f t="shared" si="16"/>
        <v>192,</v>
      </c>
      <c r="BY11" t="str">
        <f t="shared" si="17"/>
        <v xml:space="preserve"> 0xC0,</v>
      </c>
      <c r="BZ11" t="s">
        <v>0</v>
      </c>
      <c r="CA11" t="s">
        <v>1</v>
      </c>
    </row>
    <row r="12" spans="1:80">
      <c r="B12" t="str">
        <f t="shared" si="0"/>
        <v xml:space="preserve"> 0x00,</v>
      </c>
      <c r="C12" t="str">
        <f t="shared" si="1"/>
        <v>0,</v>
      </c>
      <c r="D12" t="str">
        <f t="shared" si="2"/>
        <v>00000000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0x00,</v>
      </c>
      <c r="AD12" t="str">
        <f t="shared" si="7"/>
        <v>0,</v>
      </c>
      <c r="AE12" t="str">
        <f t="shared" si="8"/>
        <v>00000000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0x01,</v>
      </c>
      <c r="BE12" t="str">
        <f t="shared" si="13"/>
        <v>1,</v>
      </c>
      <c r="BF12" t="str">
        <f t="shared" si="14"/>
        <v>00000001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1</v>
      </c>
      <c r="BO12">
        <v>1</v>
      </c>
      <c r="BP12">
        <v>1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11000000</v>
      </c>
      <c r="BX12" t="str">
        <f t="shared" si="16"/>
        <v>192,</v>
      </c>
      <c r="BY12" t="str">
        <f t="shared" si="17"/>
        <v xml:space="preserve"> 0xC0,</v>
      </c>
      <c r="BZ12" t="s">
        <v>0</v>
      </c>
      <c r="CA12" t="s">
        <v>1</v>
      </c>
    </row>
    <row r="13" spans="1:80">
      <c r="B13" t="str">
        <f t="shared" si="0"/>
        <v xml:space="preserve"> 0x00,</v>
      </c>
      <c r="C13" t="str">
        <f t="shared" si="1"/>
        <v>0,</v>
      </c>
      <c r="D13" t="str">
        <f t="shared" si="2"/>
        <v>00000000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0x00,</v>
      </c>
      <c r="AD13" t="str">
        <f t="shared" si="7"/>
        <v>0,</v>
      </c>
      <c r="AE13" t="str">
        <f t="shared" si="8"/>
        <v>00000000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0x3F,</v>
      </c>
      <c r="BE13" t="str">
        <f t="shared" si="13"/>
        <v>63,</v>
      </c>
      <c r="BF13" t="str">
        <f t="shared" si="14"/>
        <v>00111111</v>
      </c>
      <c r="BG13">
        <v>0</v>
      </c>
      <c r="BH13">
        <v>0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11000000</v>
      </c>
      <c r="BX13" t="str">
        <f t="shared" si="16"/>
        <v>192,</v>
      </c>
      <c r="BY13" t="str">
        <f t="shared" si="17"/>
        <v xml:space="preserve"> 0xC0,</v>
      </c>
      <c r="BZ13" t="s">
        <v>0</v>
      </c>
      <c r="CA13" t="s">
        <v>1</v>
      </c>
    </row>
    <row r="14" spans="1:80">
      <c r="B14" t="str">
        <f t="shared" si="0"/>
        <v xml:space="preserve"> 0x00,</v>
      </c>
      <c r="C14" t="str">
        <f t="shared" si="1"/>
        <v>0,</v>
      </c>
      <c r="D14" t="str">
        <f t="shared" si="2"/>
        <v>00000000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0x00,</v>
      </c>
      <c r="AD14" t="str">
        <f t="shared" si="7"/>
        <v>0,</v>
      </c>
      <c r="AE14" t="str">
        <f t="shared" si="8"/>
        <v>00000000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0x7F,</v>
      </c>
      <c r="BE14" t="str">
        <f t="shared" si="13"/>
        <v>127,</v>
      </c>
      <c r="BF14" t="str">
        <f t="shared" si="14"/>
        <v>01111111</v>
      </c>
      <c r="BG14">
        <v>0</v>
      </c>
      <c r="BH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1</v>
      </c>
      <c r="BP14">
        <v>1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11000000</v>
      </c>
      <c r="BX14" t="str">
        <f t="shared" si="16"/>
        <v>192,</v>
      </c>
      <c r="BY14" t="str">
        <f t="shared" si="17"/>
        <v xml:space="preserve"> 0xC0,</v>
      </c>
      <c r="BZ14" t="s">
        <v>0</v>
      </c>
      <c r="CA14" t="s">
        <v>1</v>
      </c>
    </row>
    <row r="15" spans="1:80">
      <c r="B15" t="str">
        <f t="shared" si="0"/>
        <v xml:space="preserve"> 0x00,</v>
      </c>
      <c r="C15" t="str">
        <f t="shared" si="1"/>
        <v>0,</v>
      </c>
      <c r="D15" t="str">
        <f t="shared" si="2"/>
        <v>00000000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0x00,</v>
      </c>
      <c r="AD15" t="str">
        <f t="shared" si="7"/>
        <v>0,</v>
      </c>
      <c r="AE15" t="str">
        <f t="shared" si="8"/>
        <v>00000000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0xF1,</v>
      </c>
      <c r="BE15" t="str">
        <f t="shared" si="13"/>
        <v>241,</v>
      </c>
      <c r="BF15" t="str">
        <f t="shared" si="14"/>
        <v>11110001</v>
      </c>
      <c r="BG15">
        <v>1</v>
      </c>
      <c r="BH15">
        <v>1</v>
      </c>
      <c r="BI15">
        <v>1</v>
      </c>
      <c r="BJ15">
        <v>1</v>
      </c>
      <c r="BK15">
        <v>0</v>
      </c>
      <c r="BL15">
        <v>0</v>
      </c>
      <c r="BM15">
        <v>0</v>
      </c>
      <c r="BN15">
        <v>1</v>
      </c>
      <c r="BO15">
        <v>1</v>
      </c>
      <c r="BP15">
        <v>1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11000000</v>
      </c>
      <c r="BX15" t="str">
        <f t="shared" si="16"/>
        <v>192,</v>
      </c>
      <c r="BY15" t="str">
        <f t="shared" si="17"/>
        <v xml:space="preserve"> 0xC0,</v>
      </c>
      <c r="BZ15" t="s">
        <v>0</v>
      </c>
      <c r="CA15" t="s">
        <v>1</v>
      </c>
    </row>
    <row r="16" spans="1:80">
      <c r="B16" t="str">
        <f t="shared" si="0"/>
        <v xml:space="preserve"> 0x00,</v>
      </c>
      <c r="C16" t="str">
        <f t="shared" si="1"/>
        <v>0,</v>
      </c>
      <c r="D16" t="str">
        <f t="shared" si="2"/>
        <v>00000000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0x00,</v>
      </c>
      <c r="AD16" t="str">
        <f t="shared" si="7"/>
        <v>0,</v>
      </c>
      <c r="AE16" t="str">
        <f t="shared" si="8"/>
        <v>00000000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0xE1,</v>
      </c>
      <c r="BE16" t="str">
        <f t="shared" si="13"/>
        <v>225,</v>
      </c>
      <c r="BF16" t="str">
        <f t="shared" si="14"/>
        <v>11100001</v>
      </c>
      <c r="BG16">
        <v>1</v>
      </c>
      <c r="BH16">
        <v>1</v>
      </c>
      <c r="BI16">
        <v>1</v>
      </c>
      <c r="BJ16">
        <v>0</v>
      </c>
      <c r="BK16">
        <v>0</v>
      </c>
      <c r="BL16">
        <v>0</v>
      </c>
      <c r="BM16">
        <v>0</v>
      </c>
      <c r="BN16">
        <v>1</v>
      </c>
      <c r="BO16">
        <v>1</v>
      </c>
      <c r="BP16">
        <v>1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11000000</v>
      </c>
      <c r="BX16" t="str">
        <f t="shared" si="16"/>
        <v>192,</v>
      </c>
      <c r="BY16" t="str">
        <f t="shared" si="17"/>
        <v xml:space="preserve"> 0xC0,</v>
      </c>
      <c r="BZ16" t="s">
        <v>0</v>
      </c>
      <c r="CA16" t="s">
        <v>1</v>
      </c>
    </row>
    <row r="17" spans="1:79">
      <c r="B17" t="str">
        <f t="shared" si="0"/>
        <v xml:space="preserve"> 0x00,</v>
      </c>
      <c r="C17" t="str">
        <f t="shared" si="1"/>
        <v>0,</v>
      </c>
      <c r="D17" t="str">
        <f t="shared" si="2"/>
        <v>00000000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0x00,</v>
      </c>
      <c r="AD17" t="str">
        <f t="shared" si="7"/>
        <v>0,</v>
      </c>
      <c r="AE17" t="str">
        <f t="shared" si="8"/>
        <v>00000000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0xE1,</v>
      </c>
      <c r="BE17" t="str">
        <f t="shared" si="13"/>
        <v>225,</v>
      </c>
      <c r="BF17" t="str">
        <f t="shared" si="14"/>
        <v>11100001</v>
      </c>
      <c r="BG17">
        <v>1</v>
      </c>
      <c r="BH17">
        <v>1</v>
      </c>
      <c r="BI17">
        <v>1</v>
      </c>
      <c r="BJ17">
        <v>0</v>
      </c>
      <c r="BK17">
        <v>0</v>
      </c>
      <c r="BL17">
        <v>0</v>
      </c>
      <c r="BM17">
        <v>0</v>
      </c>
      <c r="BN17">
        <v>1</v>
      </c>
      <c r="BO17">
        <v>1</v>
      </c>
      <c r="BP17">
        <v>1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11000000</v>
      </c>
      <c r="BX17" t="str">
        <f t="shared" si="16"/>
        <v>192,</v>
      </c>
      <c r="BY17" t="str">
        <f t="shared" si="17"/>
        <v xml:space="preserve"> 0xC0,</v>
      </c>
      <c r="BZ17" t="s">
        <v>0</v>
      </c>
      <c r="CA17" t="s">
        <v>1</v>
      </c>
    </row>
    <row r="18" spans="1:79">
      <c r="B18" t="str">
        <f t="shared" si="0"/>
        <v xml:space="preserve"> 0x00,</v>
      </c>
      <c r="C18" t="str">
        <f t="shared" si="1"/>
        <v>0,</v>
      </c>
      <c r="D18" t="str">
        <f t="shared" si="2"/>
        <v>00000000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0x00,</v>
      </c>
      <c r="AD18" t="str">
        <f t="shared" si="7"/>
        <v>0,</v>
      </c>
      <c r="AE18" t="str">
        <f t="shared" si="8"/>
        <v>00000000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0xF3,</v>
      </c>
      <c r="BE18" t="str">
        <f t="shared" si="13"/>
        <v>243,</v>
      </c>
      <c r="BF18" t="str">
        <f t="shared" si="14"/>
        <v>11110011</v>
      </c>
      <c r="BG18">
        <v>1</v>
      </c>
      <c r="BH18">
        <v>1</v>
      </c>
      <c r="BI18">
        <v>1</v>
      </c>
      <c r="BJ18">
        <v>1</v>
      </c>
      <c r="BK18">
        <v>0</v>
      </c>
      <c r="BL18">
        <v>0</v>
      </c>
      <c r="BM18">
        <v>1</v>
      </c>
      <c r="BN18">
        <v>1</v>
      </c>
      <c r="BO18">
        <v>1</v>
      </c>
      <c r="BP18">
        <v>1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11000000</v>
      </c>
      <c r="BX18" t="str">
        <f t="shared" si="16"/>
        <v>192,</v>
      </c>
      <c r="BY18" t="str">
        <f t="shared" si="17"/>
        <v xml:space="preserve"> 0xC0,</v>
      </c>
      <c r="BZ18" t="s">
        <v>0</v>
      </c>
      <c r="CA18" t="s">
        <v>1</v>
      </c>
    </row>
    <row r="19" spans="1:79">
      <c r="B19" t="str">
        <f t="shared" si="0"/>
        <v xml:space="preserve"> 0xFF,</v>
      </c>
      <c r="C19" t="str">
        <f t="shared" si="1"/>
        <v>255,</v>
      </c>
      <c r="D19" t="str">
        <f t="shared" si="2"/>
        <v>11111111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10000000</v>
      </c>
      <c r="V19" t="str">
        <f t="shared" si="4"/>
        <v>128,</v>
      </c>
      <c r="W19" t="str">
        <f t="shared" si="5"/>
        <v xml:space="preserve"> 0x80,</v>
      </c>
      <c r="X19" t="s">
        <v>0</v>
      </c>
      <c r="Y19" t="s">
        <v>1</v>
      </c>
      <c r="AC19" t="str">
        <f t="shared" si="6"/>
        <v xml:space="preserve"> 0x00,</v>
      </c>
      <c r="AD19" t="str">
        <f t="shared" si="7"/>
        <v>0,</v>
      </c>
      <c r="AE19" t="str">
        <f t="shared" si="8"/>
        <v>00000000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0x7F,</v>
      </c>
      <c r="BE19" t="str">
        <f t="shared" si="13"/>
        <v>127,</v>
      </c>
      <c r="BF19" t="str">
        <f t="shared" si="14"/>
        <v>01111111</v>
      </c>
      <c r="BG19">
        <v>0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11100000</v>
      </c>
      <c r="BX19" t="str">
        <f t="shared" si="16"/>
        <v>224,</v>
      </c>
      <c r="BY19" t="str">
        <f t="shared" si="17"/>
        <v xml:space="preserve"> 0xE0,</v>
      </c>
      <c r="BZ19" t="s">
        <v>0</v>
      </c>
      <c r="CA19" t="s">
        <v>1</v>
      </c>
    </row>
    <row r="20" spans="1:79">
      <c r="B20" t="str">
        <f t="shared" si="0"/>
        <v xml:space="preserve"> 0xFF,</v>
      </c>
      <c r="C20" t="str">
        <f t="shared" si="1"/>
        <v>255,</v>
      </c>
      <c r="D20" t="str">
        <f t="shared" si="2"/>
        <v>11111111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10000000</v>
      </c>
      <c r="V20" t="str">
        <f t="shared" si="4"/>
        <v>128,</v>
      </c>
      <c r="W20" t="str">
        <f t="shared" si="5"/>
        <v xml:space="preserve"> 0x80,</v>
      </c>
      <c r="X20" t="s">
        <v>0</v>
      </c>
      <c r="Y20" t="s">
        <v>1</v>
      </c>
      <c r="AC20" t="str">
        <f t="shared" si="6"/>
        <v xml:space="preserve"> 0x00,</v>
      </c>
      <c r="AD20" t="str">
        <f t="shared" si="7"/>
        <v>0,</v>
      </c>
      <c r="AE20" t="str">
        <f t="shared" si="8"/>
        <v>00000000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0x3E,</v>
      </c>
      <c r="BE20" t="str">
        <f t="shared" si="13"/>
        <v>62,</v>
      </c>
      <c r="BF20" t="str">
        <f t="shared" si="14"/>
        <v>00111110</v>
      </c>
      <c r="BG20">
        <v>0</v>
      </c>
      <c r="BH20">
        <v>0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0</v>
      </c>
      <c r="BO20">
        <v>1</v>
      </c>
      <c r="BP20">
        <v>1</v>
      </c>
      <c r="BQ20">
        <v>1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11100000</v>
      </c>
      <c r="BX20" t="str">
        <f t="shared" si="16"/>
        <v>224,</v>
      </c>
      <c r="BY20" t="str">
        <f t="shared" si="17"/>
        <v xml:space="preserve"> 0xE0,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9,</v>
      </c>
      <c r="V22" t="str">
        <f>Y20&amp;DEC2HEX(U22,2)&amp;X20</f>
        <v xml:space="preserve"> 0x09,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0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6,</v>
      </c>
      <c r="AW22" t="str">
        <f>AZ20&amp;DEC2HEX(AV22,2)&amp;AY20</f>
        <v xml:space="preserve"> 0x06,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1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11,</v>
      </c>
      <c r="BX22" t="str">
        <f>CA20&amp;DEC2HEX(BW22,2)&amp;BZ20</f>
        <v xml:space="preserve"> 0x0B,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9,0,0,0,0,0,0,0,0,0,0,0,0,0,0,0,0,0,0,0,0,0,0,0,0,0,0,0,0,255,128,255,128,//_//95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6,224,0,112,0,56,0,28,0,0,0,0,0,0,0,0,0,0,0,0,0,0,0,0,0,0,0,0,0,0,0,0,0,//`//96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11,0,0,0,0,0,0,0,0,63,128,127,192,3,192,1,192,63,192,127,192,241,192,225,192,225,192,243,192,127,224,62,224,//a//97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0x09, 0x00, 0x00, 0x00, 0x00, 0x00, 0x00, 0x00, 0x00, 0x00, 0x00, 0x00, 0x00, 0x00, 0x00, 0x00, 0x00, 0x00, 0x00, 0x00, 0x00, 0x00, 0x00, 0x00, 0x00, 0x00, 0x00, 0x00, 0x00, 0xFF, 0x80, 0xFF, 0x80,//_//95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0x06, 0xE0, 0x00, 0x70, 0x00, 0x38, 0x00, 0x1C, 0x00, 0x00, 0x00, 0x00, 0x00, 0x00, 0x00, 0x00, 0x00, 0x00, 0x00, 0x00, 0x00, 0x00, 0x00, 0x00, 0x00, 0x00, 0x00, 0x00, 0x00, 0x00, 0x00, 0x00, 0x00,//`//96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0x0B, 0x00, 0x00, 0x00, 0x00, 0x00, 0x00, 0x00, 0x00, 0x3F, 0x80, 0x7F, 0xC0, 0x03, 0xC0, 0x01, 0xC0, 0x3F, 0xC0, 0x7F, 0xC0, 0xF1, 0xC0, 0xE1, 0xC0, 0xE1, 0xC0, 0xF3, 0xC0, 0x7F, 0xE0, 0x3E, 0xE0,//a//97</v>
      </c>
    </row>
    <row r="28" spans="1:79">
      <c r="A28" s="1" t="str">
        <f>$B$24</f>
        <v>9,0,0,0,0,0,0,0,0,0,0,0,0,0,0,0,0,0,0,0,0,0,0,0,0,0,0,0,0,255,128,255,128,//_//95</v>
      </c>
      <c r="E28" t="s">
        <v>4</v>
      </c>
      <c r="AB28" s="1" t="str">
        <f>$AC$24</f>
        <v>6,224,0,112,0,56,0,28,0,0,0,0,0,0,0,0,0,0,0,0,0,0,0,0,0,0,0,0,0,0,0,0,0,//`//96</v>
      </c>
      <c r="AF28" t="s">
        <v>4</v>
      </c>
      <c r="BC28" s="1" t="str">
        <f>$BD$24</f>
        <v>11,0,0,0,0,0,0,0,0,63,128,127,192,3,192,1,192,63,192,127,192,241,192,225,192,225,192,243,192,127,224,62,224,//a//97</v>
      </c>
      <c r="BG28" t="s">
        <v>4</v>
      </c>
    </row>
    <row r="29" spans="1:79">
      <c r="A29" s="2" t="str">
        <f>$B$25</f>
        <v xml:space="preserve"> 0x09, 0x00, 0x00, 0x00, 0x00, 0x00, 0x00, 0x00, 0x00, 0x00, 0x00, 0x00, 0x00, 0x00, 0x00, 0x00, 0x00, 0x00, 0x00, 0x00, 0x00, 0x00, 0x00, 0x00, 0x00, 0x00, 0x00, 0x00, 0x00, 0xFF, 0x80, 0xFF, 0x80,//_//95</v>
      </c>
      <c r="E29" t="s">
        <v>3</v>
      </c>
      <c r="AB29" s="2" t="str">
        <f>$AC$25</f>
        <v xml:space="preserve"> 0x06, 0xE0, 0x00, 0x70, 0x00, 0x38, 0x00, 0x1C, 0x00, 0x00, 0x00, 0x00, 0x00, 0x00, 0x00, 0x00, 0x00, 0x00, 0x00, 0x00, 0x00, 0x00, 0x00, 0x00, 0x00, 0x00, 0x00, 0x00, 0x00, 0x00, 0x00, 0x00, 0x00,//`//96</v>
      </c>
      <c r="AF29" t="s">
        <v>3</v>
      </c>
      <c r="BC29" s="2" t="str">
        <f>$BD$25</f>
        <v xml:space="preserve"> 0x0B, 0x00, 0x00, 0x00, 0x00, 0x00, 0x00, 0x00, 0x00, 0x3F, 0x80, 0x7F, 0xC0, 0x03, 0xC0, 0x01, 0xC0, 0x3F, 0xC0, 0x7F, 0xC0, 0xF1, 0xC0, 0xE1, 0xC0, 0xE1, 0xC0, 0xF3, 0xC0, 0x7F, 0xE0, 0x3E, 0xE0,//a//97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18:N19 H8:L12 E5:N5 H13:K15 M8:N17 G8:G17 L13:L17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7 N18 M18:M19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38" priority="11" operator="greaterThan">
      <formula>1</formula>
    </cfRule>
  </conditionalFormatting>
  <conditionalFormatting sqref="AH6:AO7 AH18:AO19 AF5:AO5 AF6:AG20 AH8:AM17 AH20:AI20 AK20:AM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19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37" priority="6" operator="greaterThan">
      <formula>1</formula>
    </cfRule>
  </conditionalFormatting>
  <conditionalFormatting sqref="BI6:BP7 BI18:BP19 BJ8:BN12 BG5:BP5 BJ13:BM15 BI8:BI17 BI20 BG6:BH20 BJ16:BK17 BN13:BN17 BO8:BP17 BN20:BP20 BL16:BM16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36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9"/>
  <dimension ref="A4:CB29"/>
  <sheetViews>
    <sheetView workbookViewId="0">
      <selection activeCell="L31" sqref="L31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98</v>
      </c>
      <c r="Z4" t="s">
        <v>5</v>
      </c>
      <c r="AB4" s="3">
        <v>99</v>
      </c>
      <c r="BA4" t="s">
        <v>5</v>
      </c>
      <c r="BC4" s="3">
        <v>100</v>
      </c>
      <c r="CB4" t="s">
        <v>5</v>
      </c>
    </row>
    <row r="5" spans="1:80">
      <c r="A5" s="3" t="s">
        <v>266</v>
      </c>
      <c r="B5" t="str">
        <f>Z5&amp;Y5&amp;BIN2HEX(D5,2)&amp;X5</f>
        <v xml:space="preserve"> 0xE0,</v>
      </c>
      <c r="C5" t="str">
        <f>Z5&amp;BIN2DEC(D5)&amp;X5</f>
        <v>224,</v>
      </c>
      <c r="D5" t="str">
        <f>E5&amp;F5&amp;G5&amp;H5&amp;I5&amp;J5&amp;K5&amp;L5</f>
        <v>11100000</v>
      </c>
      <c r="E5">
        <v>1</v>
      </c>
      <c r="F5">
        <v>1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267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268</v>
      </c>
      <c r="BD5" t="str">
        <f>CB5&amp;CA5&amp;BIN2HEX(BF5,2)&amp;BZ5</f>
        <v xml:space="preserve"> 0x01,</v>
      </c>
      <c r="BE5" t="str">
        <f>CB5&amp;BIN2DEC(BF5)&amp;BZ5</f>
        <v>1,</v>
      </c>
      <c r="BF5" t="str">
        <f>BG5&amp;BH5&amp;BI5&amp;BJ5&amp;BK5&amp;BL5&amp;BM5&amp;BN5</f>
        <v>00000001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</v>
      </c>
      <c r="BO5">
        <v>1</v>
      </c>
      <c r="BP5">
        <v>1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11000000</v>
      </c>
      <c r="BX5" t="str">
        <f>CB5&amp;BIN2DEC(BW5)&amp;BZ5</f>
        <v>192,</v>
      </c>
      <c r="BY5" t="str">
        <f>CB5&amp;CA5&amp;BIN2HEX(BW5,2)&amp;BZ5</f>
        <v xml:space="preserve"> 0xC0,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0xE0,</v>
      </c>
      <c r="C6" t="str">
        <f t="shared" ref="C6:C20" si="1">Z6&amp;BIN2DEC(D6)&amp;X6</f>
        <v>224,</v>
      </c>
      <c r="D6" t="str">
        <f t="shared" ref="D6:D20" si="2">E6&amp;F6&amp;G6&amp;H6&amp;I6&amp;J6&amp;K6&amp;L6</f>
        <v>11100000</v>
      </c>
      <c r="E6">
        <v>1</v>
      </c>
      <c r="F6">
        <v>1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0x01,</v>
      </c>
      <c r="BE6" t="str">
        <f t="shared" ref="BE6:BE20" si="13">CB6&amp;BIN2DEC(BF6)&amp;BZ6</f>
        <v>1,</v>
      </c>
      <c r="BF6" t="str">
        <f t="shared" ref="BF6:BF20" si="14">BG6&amp;BH6&amp;BI6&amp;BJ6&amp;BK6&amp;BL6&amp;BM6&amp;BN6</f>
        <v>00000001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1</v>
      </c>
      <c r="BO6">
        <v>1</v>
      </c>
      <c r="BP6">
        <v>1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11000000</v>
      </c>
      <c r="BX6" t="str">
        <f t="shared" ref="BX6:BX20" si="16">CB6&amp;BIN2DEC(BW6)&amp;BZ6</f>
        <v>192,</v>
      </c>
      <c r="BY6" t="str">
        <f t="shared" ref="BY6:BY20" si="17">CB6&amp;CA6&amp;BIN2HEX(BW6,2)&amp;BZ6</f>
        <v xml:space="preserve"> 0xC0,</v>
      </c>
      <c r="BZ6" t="s">
        <v>0</v>
      </c>
      <c r="CA6" t="s">
        <v>1</v>
      </c>
    </row>
    <row r="7" spans="1:80">
      <c r="B7" t="str">
        <f t="shared" si="0"/>
        <v xml:space="preserve"> 0xE0,</v>
      </c>
      <c r="C7" t="str">
        <f t="shared" si="1"/>
        <v>224,</v>
      </c>
      <c r="D7" t="str">
        <f t="shared" si="2"/>
        <v>11100000</v>
      </c>
      <c r="E7">
        <v>1</v>
      </c>
      <c r="F7">
        <v>1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0x01,</v>
      </c>
      <c r="BE7" t="str">
        <f t="shared" si="13"/>
        <v>1,</v>
      </c>
      <c r="BF7" t="str">
        <f t="shared" si="14"/>
        <v>00000001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1</v>
      </c>
      <c r="BO7">
        <v>1</v>
      </c>
      <c r="BP7">
        <v>1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11000000</v>
      </c>
      <c r="BX7" t="str">
        <f t="shared" si="16"/>
        <v>192,</v>
      </c>
      <c r="BY7" t="str">
        <f t="shared" si="17"/>
        <v xml:space="preserve"> 0xC0,</v>
      </c>
      <c r="BZ7" t="s">
        <v>0</v>
      </c>
      <c r="CA7" t="s">
        <v>1</v>
      </c>
    </row>
    <row r="8" spans="1:80">
      <c r="B8" t="str">
        <f t="shared" si="0"/>
        <v xml:space="preserve"> 0xE0,</v>
      </c>
      <c r="C8" t="str">
        <f t="shared" si="1"/>
        <v>224,</v>
      </c>
      <c r="D8" t="str">
        <f t="shared" si="2"/>
        <v>11100000</v>
      </c>
      <c r="E8">
        <v>1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0x01,</v>
      </c>
      <c r="BE8" t="str">
        <f t="shared" si="13"/>
        <v>1,</v>
      </c>
      <c r="BF8" t="str">
        <f t="shared" si="14"/>
        <v>00000001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1</v>
      </c>
      <c r="BO8">
        <v>1</v>
      </c>
      <c r="BP8">
        <v>1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11000000</v>
      </c>
      <c r="BX8" t="str">
        <f t="shared" si="16"/>
        <v>192,</v>
      </c>
      <c r="BY8" t="str">
        <f t="shared" si="17"/>
        <v xml:space="preserve"> 0xC0,</v>
      </c>
      <c r="BZ8" t="s">
        <v>0</v>
      </c>
      <c r="CA8" t="s">
        <v>1</v>
      </c>
    </row>
    <row r="9" spans="1:80">
      <c r="B9" t="str">
        <f t="shared" si="0"/>
        <v xml:space="preserve"> 0xEF,</v>
      </c>
      <c r="C9" t="str">
        <f t="shared" si="1"/>
        <v>239,</v>
      </c>
      <c r="D9" t="str">
        <f t="shared" si="2"/>
        <v>11101111</v>
      </c>
      <c r="E9">
        <v>1</v>
      </c>
      <c r="F9">
        <v>1</v>
      </c>
      <c r="G9">
        <v>1</v>
      </c>
      <c r="H9">
        <v>0</v>
      </c>
      <c r="I9">
        <v>1</v>
      </c>
      <c r="J9">
        <v>1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0x3F,</v>
      </c>
      <c r="AD9" t="str">
        <f t="shared" si="7"/>
        <v>63,</v>
      </c>
      <c r="AE9" t="str">
        <f t="shared" si="8"/>
        <v>00111111</v>
      </c>
      <c r="AF9">
        <v>0</v>
      </c>
      <c r="AG9">
        <v>0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0x3D,</v>
      </c>
      <c r="BE9" t="str">
        <f t="shared" si="13"/>
        <v>61,</v>
      </c>
      <c r="BF9" t="str">
        <f t="shared" si="14"/>
        <v>00111101</v>
      </c>
      <c r="BG9">
        <v>0</v>
      </c>
      <c r="BH9">
        <v>0</v>
      </c>
      <c r="BI9">
        <v>1</v>
      </c>
      <c r="BJ9">
        <v>1</v>
      </c>
      <c r="BK9">
        <v>1</v>
      </c>
      <c r="BL9">
        <v>1</v>
      </c>
      <c r="BM9">
        <v>0</v>
      </c>
      <c r="BN9">
        <v>1</v>
      </c>
      <c r="BO9">
        <v>1</v>
      </c>
      <c r="BP9">
        <v>1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11000000</v>
      </c>
      <c r="BX9" t="str">
        <f t="shared" si="16"/>
        <v>192,</v>
      </c>
      <c r="BY9" t="str">
        <f t="shared" si="17"/>
        <v xml:space="preserve"> 0xC0,</v>
      </c>
      <c r="BZ9" t="s">
        <v>0</v>
      </c>
      <c r="CA9" t="s">
        <v>1</v>
      </c>
    </row>
    <row r="10" spans="1:80">
      <c r="B10" t="str">
        <f t="shared" si="0"/>
        <v xml:space="preserve"> 0xFF,</v>
      </c>
      <c r="C10" t="str">
        <f t="shared" si="1"/>
        <v>255,</v>
      </c>
      <c r="D10" t="str">
        <f t="shared" si="2"/>
        <v>11111111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10000000</v>
      </c>
      <c r="V10" t="str">
        <f t="shared" si="4"/>
        <v>128,</v>
      </c>
      <c r="W10" t="str">
        <f t="shared" si="5"/>
        <v xml:space="preserve"> 0x80,</v>
      </c>
      <c r="X10" t="s">
        <v>0</v>
      </c>
      <c r="Y10" t="s">
        <v>1</v>
      </c>
      <c r="AC10" t="str">
        <f t="shared" si="6"/>
        <v xml:space="preserve"> 0x7F,</v>
      </c>
      <c r="AD10" t="str">
        <f t="shared" si="7"/>
        <v>127,</v>
      </c>
      <c r="AE10" t="str">
        <f t="shared" si="8"/>
        <v>01111111</v>
      </c>
      <c r="AF10">
        <v>0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10000000</v>
      </c>
      <c r="AW10" t="str">
        <f t="shared" si="10"/>
        <v>128,</v>
      </c>
      <c r="AX10" t="str">
        <f t="shared" si="11"/>
        <v xml:space="preserve"> 0x80,</v>
      </c>
      <c r="AY10" t="s">
        <v>0</v>
      </c>
      <c r="AZ10" t="s">
        <v>1</v>
      </c>
      <c r="BD10" t="str">
        <f t="shared" si="12"/>
        <v xml:space="preserve"> 0x7F,</v>
      </c>
      <c r="BE10" t="str">
        <f t="shared" si="13"/>
        <v>127,</v>
      </c>
      <c r="BF10" t="str">
        <f t="shared" si="14"/>
        <v>01111111</v>
      </c>
      <c r="BG10">
        <v>0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11000000</v>
      </c>
      <c r="BX10" t="str">
        <f t="shared" si="16"/>
        <v>192,</v>
      </c>
      <c r="BY10" t="str">
        <f t="shared" si="17"/>
        <v xml:space="preserve"> 0xC0,</v>
      </c>
      <c r="BZ10" t="s">
        <v>0</v>
      </c>
      <c r="CA10" t="s">
        <v>1</v>
      </c>
    </row>
    <row r="11" spans="1:80">
      <c r="B11" t="str">
        <f t="shared" si="0"/>
        <v xml:space="preserve"> 0xF3,</v>
      </c>
      <c r="C11" t="str">
        <f t="shared" si="1"/>
        <v>243,</v>
      </c>
      <c r="D11" t="str">
        <f t="shared" si="2"/>
        <v>11110011</v>
      </c>
      <c r="E11">
        <v>1</v>
      </c>
      <c r="F11">
        <v>1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11000000</v>
      </c>
      <c r="V11" t="str">
        <f t="shared" si="4"/>
        <v>192,</v>
      </c>
      <c r="W11" t="str">
        <f t="shared" si="5"/>
        <v xml:space="preserve"> 0xC0,</v>
      </c>
      <c r="X11" t="s">
        <v>0</v>
      </c>
      <c r="Y11" t="s">
        <v>1</v>
      </c>
      <c r="AC11" t="str">
        <f t="shared" si="6"/>
        <v xml:space="preserve"> 0xF3,</v>
      </c>
      <c r="AD11" t="str">
        <f t="shared" si="7"/>
        <v>243,</v>
      </c>
      <c r="AE11" t="str">
        <f t="shared" si="8"/>
        <v>11110011</v>
      </c>
      <c r="AF11">
        <v>1</v>
      </c>
      <c r="AG11">
        <v>1</v>
      </c>
      <c r="AH11">
        <v>1</v>
      </c>
      <c r="AI11">
        <v>1</v>
      </c>
      <c r="AJ11">
        <v>0</v>
      </c>
      <c r="AK11">
        <v>0</v>
      </c>
      <c r="AL11">
        <v>1</v>
      </c>
      <c r="AM11">
        <v>1</v>
      </c>
      <c r="AN11">
        <v>1</v>
      </c>
      <c r="AO11">
        <v>1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11000000</v>
      </c>
      <c r="AW11" t="str">
        <f t="shared" si="10"/>
        <v>192,</v>
      </c>
      <c r="AX11" t="str">
        <f t="shared" si="11"/>
        <v xml:space="preserve"> 0xC0,</v>
      </c>
      <c r="AY11" t="s">
        <v>0</v>
      </c>
      <c r="AZ11" t="s">
        <v>1</v>
      </c>
      <c r="BD11" t="str">
        <f t="shared" si="12"/>
        <v xml:space="preserve"> 0xF3,</v>
      </c>
      <c r="BE11" t="str">
        <f t="shared" si="13"/>
        <v>243,</v>
      </c>
      <c r="BF11" t="str">
        <f t="shared" si="14"/>
        <v>11110011</v>
      </c>
      <c r="BG11">
        <v>1</v>
      </c>
      <c r="BH11">
        <v>1</v>
      </c>
      <c r="BI11">
        <v>1</v>
      </c>
      <c r="BJ11">
        <v>1</v>
      </c>
      <c r="BK11">
        <v>0</v>
      </c>
      <c r="BL11">
        <v>0</v>
      </c>
      <c r="BM11">
        <v>1</v>
      </c>
      <c r="BN11">
        <v>1</v>
      </c>
      <c r="BO11">
        <v>1</v>
      </c>
      <c r="BP11">
        <v>1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11000000</v>
      </c>
      <c r="BX11" t="str">
        <f t="shared" si="16"/>
        <v>192,</v>
      </c>
      <c r="BY11" t="str">
        <f t="shared" si="17"/>
        <v xml:space="preserve"> 0xC0,</v>
      </c>
      <c r="BZ11" t="s">
        <v>0</v>
      </c>
      <c r="CA11" t="s">
        <v>1</v>
      </c>
    </row>
    <row r="12" spans="1:80">
      <c r="B12" t="str">
        <f t="shared" si="0"/>
        <v xml:space="preserve"> 0xE1,</v>
      </c>
      <c r="C12" t="str">
        <f t="shared" si="1"/>
        <v>225,</v>
      </c>
      <c r="D12" t="str">
        <f t="shared" si="2"/>
        <v>11100001</v>
      </c>
      <c r="E12">
        <v>1</v>
      </c>
      <c r="F12">
        <v>1</v>
      </c>
      <c r="G12">
        <v>1</v>
      </c>
      <c r="H12">
        <v>0</v>
      </c>
      <c r="I12">
        <v>0</v>
      </c>
      <c r="J12">
        <v>0</v>
      </c>
      <c r="K12">
        <v>0</v>
      </c>
      <c r="L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0xE1,</v>
      </c>
      <c r="AD12" t="str">
        <f t="shared" si="7"/>
        <v>225,</v>
      </c>
      <c r="AE12" t="str">
        <f t="shared" si="8"/>
        <v>11100001</v>
      </c>
      <c r="AF12">
        <v>1</v>
      </c>
      <c r="AG12">
        <v>1</v>
      </c>
      <c r="AH12">
        <v>1</v>
      </c>
      <c r="AI12">
        <v>0</v>
      </c>
      <c r="AJ12">
        <v>0</v>
      </c>
      <c r="AK12">
        <v>0</v>
      </c>
      <c r="AL12">
        <v>0</v>
      </c>
      <c r="AM12">
        <v>1</v>
      </c>
      <c r="AN12">
        <v>1</v>
      </c>
      <c r="AO12">
        <v>1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11000000</v>
      </c>
      <c r="AW12" t="str">
        <f t="shared" si="10"/>
        <v>192,</v>
      </c>
      <c r="AX12" t="str">
        <f t="shared" si="11"/>
        <v xml:space="preserve"> 0xC0,</v>
      </c>
      <c r="AY12" t="s">
        <v>0</v>
      </c>
      <c r="AZ12" t="s">
        <v>1</v>
      </c>
      <c r="BD12" t="str">
        <f t="shared" si="12"/>
        <v xml:space="preserve"> 0xE1,</v>
      </c>
      <c r="BE12" t="str">
        <f t="shared" si="13"/>
        <v>225,</v>
      </c>
      <c r="BF12" t="str">
        <f t="shared" si="14"/>
        <v>11100001</v>
      </c>
      <c r="BG12">
        <v>1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0</v>
      </c>
      <c r="BN12">
        <v>1</v>
      </c>
      <c r="BO12">
        <v>1</v>
      </c>
      <c r="BP12">
        <v>1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11000000</v>
      </c>
      <c r="BX12" t="str">
        <f t="shared" si="16"/>
        <v>192,</v>
      </c>
      <c r="BY12" t="str">
        <f t="shared" si="17"/>
        <v xml:space="preserve"> 0xC0,</v>
      </c>
      <c r="BZ12" t="s">
        <v>0</v>
      </c>
      <c r="CA12" t="s">
        <v>1</v>
      </c>
    </row>
    <row r="13" spans="1:80">
      <c r="B13" t="str">
        <f t="shared" si="0"/>
        <v xml:space="preserve"> 0xE1,</v>
      </c>
      <c r="C13" t="str">
        <f t="shared" si="1"/>
        <v>225,</v>
      </c>
      <c r="D13" t="str">
        <f t="shared" si="2"/>
        <v>11100001</v>
      </c>
      <c r="E13">
        <v>1</v>
      </c>
      <c r="F13">
        <v>1</v>
      </c>
      <c r="G13">
        <v>1</v>
      </c>
      <c r="H13">
        <v>0</v>
      </c>
      <c r="I13">
        <v>0</v>
      </c>
      <c r="J13">
        <v>0</v>
      </c>
      <c r="K13">
        <v>0</v>
      </c>
      <c r="L13">
        <v>1</v>
      </c>
      <c r="M13">
        <v>1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11000000</v>
      </c>
      <c r="V13" t="str">
        <f t="shared" si="4"/>
        <v>192,</v>
      </c>
      <c r="W13" t="str">
        <f t="shared" si="5"/>
        <v xml:space="preserve"> 0xC0,</v>
      </c>
      <c r="X13" t="s">
        <v>0</v>
      </c>
      <c r="Y13" t="s">
        <v>1</v>
      </c>
      <c r="AC13" t="str">
        <f t="shared" si="6"/>
        <v xml:space="preserve"> 0xE0,</v>
      </c>
      <c r="AD13" t="str">
        <f t="shared" si="7"/>
        <v>224,</v>
      </c>
      <c r="AE13" t="str">
        <f t="shared" si="8"/>
        <v>11100000</v>
      </c>
      <c r="AF13">
        <v>1</v>
      </c>
      <c r="AG13">
        <v>1</v>
      </c>
      <c r="AH13">
        <v>1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0xE1,</v>
      </c>
      <c r="BE13" t="str">
        <f t="shared" si="13"/>
        <v>225,</v>
      </c>
      <c r="BF13" t="str">
        <f t="shared" si="14"/>
        <v>11100001</v>
      </c>
      <c r="BG13">
        <v>1</v>
      </c>
      <c r="BH13">
        <v>1</v>
      </c>
      <c r="BI13">
        <v>1</v>
      </c>
      <c r="BJ13">
        <v>0</v>
      </c>
      <c r="BK13">
        <v>0</v>
      </c>
      <c r="BL13">
        <v>0</v>
      </c>
      <c r="BM13">
        <v>0</v>
      </c>
      <c r="BN13">
        <v>1</v>
      </c>
      <c r="BO13">
        <v>1</v>
      </c>
      <c r="BP13">
        <v>1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11000000</v>
      </c>
      <c r="BX13" t="str">
        <f t="shared" si="16"/>
        <v>192,</v>
      </c>
      <c r="BY13" t="str">
        <f t="shared" si="17"/>
        <v xml:space="preserve"> 0xC0,</v>
      </c>
      <c r="BZ13" t="s">
        <v>0</v>
      </c>
      <c r="CA13" t="s">
        <v>1</v>
      </c>
    </row>
    <row r="14" spans="1:80">
      <c r="B14" t="str">
        <f t="shared" si="0"/>
        <v xml:space="preserve"> 0xE1,</v>
      </c>
      <c r="C14" t="str">
        <f t="shared" si="1"/>
        <v>225,</v>
      </c>
      <c r="D14" t="str">
        <f t="shared" si="2"/>
        <v>11100001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11000000</v>
      </c>
      <c r="V14" t="str">
        <f t="shared" si="4"/>
        <v>192,</v>
      </c>
      <c r="W14" t="str">
        <f t="shared" si="5"/>
        <v xml:space="preserve"> 0xC0,</v>
      </c>
      <c r="X14" t="s">
        <v>0</v>
      </c>
      <c r="Y14" t="s">
        <v>1</v>
      </c>
      <c r="AC14" t="str">
        <f t="shared" si="6"/>
        <v xml:space="preserve"> 0xE0,</v>
      </c>
      <c r="AD14" t="str">
        <f t="shared" si="7"/>
        <v>224,</v>
      </c>
      <c r="AE14" t="str">
        <f t="shared" si="8"/>
        <v>11100000</v>
      </c>
      <c r="AF14">
        <v>1</v>
      </c>
      <c r="AG14">
        <v>1</v>
      </c>
      <c r="AH14">
        <v>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0xE1,</v>
      </c>
      <c r="BE14" t="str">
        <f t="shared" si="13"/>
        <v>225,</v>
      </c>
      <c r="BF14" t="str">
        <f t="shared" si="14"/>
        <v>11100001</v>
      </c>
      <c r="BG14">
        <v>1</v>
      </c>
      <c r="BH14">
        <v>1</v>
      </c>
      <c r="BI14">
        <v>1</v>
      </c>
      <c r="BJ14">
        <v>0</v>
      </c>
      <c r="BK14">
        <v>0</v>
      </c>
      <c r="BL14">
        <v>0</v>
      </c>
      <c r="BM14">
        <v>0</v>
      </c>
      <c r="BN14">
        <v>1</v>
      </c>
      <c r="BO14">
        <v>1</v>
      </c>
      <c r="BP14">
        <v>1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11000000</v>
      </c>
      <c r="BX14" t="str">
        <f t="shared" si="16"/>
        <v>192,</v>
      </c>
      <c r="BY14" t="str">
        <f t="shared" si="17"/>
        <v xml:space="preserve"> 0xC0,</v>
      </c>
      <c r="BZ14" t="s">
        <v>0</v>
      </c>
      <c r="CA14" t="s">
        <v>1</v>
      </c>
    </row>
    <row r="15" spans="1:80">
      <c r="B15" t="str">
        <f t="shared" si="0"/>
        <v xml:space="preserve"> 0xE1,</v>
      </c>
      <c r="C15" t="str">
        <f t="shared" si="1"/>
        <v>225,</v>
      </c>
      <c r="D15" t="str">
        <f t="shared" si="2"/>
        <v>11100001</v>
      </c>
      <c r="E15">
        <v>1</v>
      </c>
      <c r="F15">
        <v>1</v>
      </c>
      <c r="G15">
        <v>1</v>
      </c>
      <c r="H15">
        <v>0</v>
      </c>
      <c r="I15">
        <v>0</v>
      </c>
      <c r="J15">
        <v>0</v>
      </c>
      <c r="K15">
        <v>0</v>
      </c>
      <c r="L15">
        <v>1</v>
      </c>
      <c r="M15">
        <v>1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11000000</v>
      </c>
      <c r="V15" t="str">
        <f t="shared" si="4"/>
        <v>192,</v>
      </c>
      <c r="W15" t="str">
        <f t="shared" si="5"/>
        <v xml:space="preserve"> 0xC0,</v>
      </c>
      <c r="X15" t="s">
        <v>0</v>
      </c>
      <c r="Y15" t="s">
        <v>1</v>
      </c>
      <c r="AC15" t="str">
        <f t="shared" si="6"/>
        <v xml:space="preserve"> 0xE0,</v>
      </c>
      <c r="AD15" t="str">
        <f t="shared" si="7"/>
        <v>224,</v>
      </c>
      <c r="AE15" t="str">
        <f t="shared" si="8"/>
        <v>11100000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0xE1,</v>
      </c>
      <c r="BE15" t="str">
        <f t="shared" si="13"/>
        <v>225,</v>
      </c>
      <c r="BF15" t="str">
        <f t="shared" si="14"/>
        <v>11100001</v>
      </c>
      <c r="BG15">
        <v>1</v>
      </c>
      <c r="BH15">
        <v>1</v>
      </c>
      <c r="BI15">
        <v>1</v>
      </c>
      <c r="BJ15">
        <v>0</v>
      </c>
      <c r="BK15">
        <v>0</v>
      </c>
      <c r="BL15">
        <v>0</v>
      </c>
      <c r="BM15">
        <v>0</v>
      </c>
      <c r="BN15">
        <v>1</v>
      </c>
      <c r="BO15">
        <v>1</v>
      </c>
      <c r="BP15">
        <v>1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11000000</v>
      </c>
      <c r="BX15" t="str">
        <f t="shared" si="16"/>
        <v>192,</v>
      </c>
      <c r="BY15" t="str">
        <f t="shared" si="17"/>
        <v xml:space="preserve"> 0xC0,</v>
      </c>
      <c r="BZ15" t="s">
        <v>0</v>
      </c>
      <c r="CA15" t="s">
        <v>1</v>
      </c>
    </row>
    <row r="16" spans="1:80">
      <c r="B16" t="str">
        <f t="shared" si="0"/>
        <v xml:space="preserve"> 0xE1,</v>
      </c>
      <c r="C16" t="str">
        <f t="shared" si="1"/>
        <v>225,</v>
      </c>
      <c r="D16" t="str">
        <f t="shared" si="2"/>
        <v>11100001</v>
      </c>
      <c r="E16">
        <v>1</v>
      </c>
      <c r="F16">
        <v>1</v>
      </c>
      <c r="G16">
        <v>1</v>
      </c>
      <c r="H16">
        <v>0</v>
      </c>
      <c r="I16">
        <v>0</v>
      </c>
      <c r="J16">
        <v>0</v>
      </c>
      <c r="K16">
        <v>0</v>
      </c>
      <c r="L16">
        <v>1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11000000</v>
      </c>
      <c r="V16" t="str">
        <f t="shared" si="4"/>
        <v>192,</v>
      </c>
      <c r="W16" t="str">
        <f t="shared" si="5"/>
        <v xml:space="preserve"> 0xC0,</v>
      </c>
      <c r="X16" t="s">
        <v>0</v>
      </c>
      <c r="Y16" t="s">
        <v>1</v>
      </c>
      <c r="AC16" t="str">
        <f t="shared" si="6"/>
        <v xml:space="preserve"> 0xE0,</v>
      </c>
      <c r="AD16" t="str">
        <f t="shared" si="7"/>
        <v>224,</v>
      </c>
      <c r="AE16" t="str">
        <f t="shared" si="8"/>
        <v>11100000</v>
      </c>
      <c r="AF16">
        <v>1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0xE1,</v>
      </c>
      <c r="BE16" t="str">
        <f t="shared" si="13"/>
        <v>225,</v>
      </c>
      <c r="BF16" t="str">
        <f t="shared" si="14"/>
        <v>11100001</v>
      </c>
      <c r="BG16">
        <v>1</v>
      </c>
      <c r="BH16">
        <v>1</v>
      </c>
      <c r="BI16">
        <v>1</v>
      </c>
      <c r="BJ16">
        <v>0</v>
      </c>
      <c r="BK16">
        <v>0</v>
      </c>
      <c r="BL16">
        <v>0</v>
      </c>
      <c r="BM16">
        <v>0</v>
      </c>
      <c r="BN16">
        <v>1</v>
      </c>
      <c r="BO16">
        <v>1</v>
      </c>
      <c r="BP16">
        <v>1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11000000</v>
      </c>
      <c r="BX16" t="str">
        <f t="shared" si="16"/>
        <v>192,</v>
      </c>
      <c r="BY16" t="str">
        <f t="shared" si="17"/>
        <v xml:space="preserve"> 0xC0,</v>
      </c>
      <c r="BZ16" t="s">
        <v>0</v>
      </c>
      <c r="CA16" t="s">
        <v>1</v>
      </c>
    </row>
    <row r="17" spans="1:79">
      <c r="B17" t="str">
        <f t="shared" si="0"/>
        <v xml:space="preserve"> 0xE1,</v>
      </c>
      <c r="C17" t="str">
        <f t="shared" si="1"/>
        <v>225,</v>
      </c>
      <c r="D17" t="str">
        <f t="shared" si="2"/>
        <v>11100001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0</v>
      </c>
      <c r="L17">
        <v>1</v>
      </c>
      <c r="M17">
        <v>1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11000000</v>
      </c>
      <c r="V17" t="str">
        <f t="shared" si="4"/>
        <v>192,</v>
      </c>
      <c r="W17" t="str">
        <f t="shared" si="5"/>
        <v xml:space="preserve"> 0xC0,</v>
      </c>
      <c r="X17" t="s">
        <v>0</v>
      </c>
      <c r="Y17" t="s">
        <v>1</v>
      </c>
      <c r="AC17" t="str">
        <f t="shared" si="6"/>
        <v xml:space="preserve"> 0xE1,</v>
      </c>
      <c r="AD17" t="str">
        <f t="shared" si="7"/>
        <v>225,</v>
      </c>
      <c r="AE17" t="str">
        <f t="shared" si="8"/>
        <v>11100001</v>
      </c>
      <c r="AF17">
        <v>1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1</v>
      </c>
      <c r="AN17">
        <v>1</v>
      </c>
      <c r="AO17">
        <v>1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11000000</v>
      </c>
      <c r="AW17" t="str">
        <f t="shared" si="10"/>
        <v>192,</v>
      </c>
      <c r="AX17" t="str">
        <f t="shared" si="11"/>
        <v xml:space="preserve"> 0xC0,</v>
      </c>
      <c r="AY17" t="s">
        <v>0</v>
      </c>
      <c r="AZ17" t="s">
        <v>1</v>
      </c>
      <c r="BD17" t="str">
        <f t="shared" si="12"/>
        <v xml:space="preserve"> 0xE1,</v>
      </c>
      <c r="BE17" t="str">
        <f t="shared" si="13"/>
        <v>225,</v>
      </c>
      <c r="BF17" t="str">
        <f t="shared" si="14"/>
        <v>11100001</v>
      </c>
      <c r="BG17">
        <v>1</v>
      </c>
      <c r="BH17">
        <v>1</v>
      </c>
      <c r="BI17">
        <v>1</v>
      </c>
      <c r="BJ17">
        <v>0</v>
      </c>
      <c r="BK17">
        <v>0</v>
      </c>
      <c r="BL17">
        <v>0</v>
      </c>
      <c r="BM17">
        <v>0</v>
      </c>
      <c r="BN17">
        <v>1</v>
      </c>
      <c r="BO17">
        <v>1</v>
      </c>
      <c r="BP17">
        <v>1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11000000</v>
      </c>
      <c r="BX17" t="str">
        <f t="shared" si="16"/>
        <v>192,</v>
      </c>
      <c r="BY17" t="str">
        <f t="shared" si="17"/>
        <v xml:space="preserve"> 0xC0,</v>
      </c>
      <c r="BZ17" t="s">
        <v>0</v>
      </c>
      <c r="CA17" t="s">
        <v>1</v>
      </c>
    </row>
    <row r="18" spans="1:79">
      <c r="B18" t="str">
        <f t="shared" si="0"/>
        <v xml:space="preserve"> 0xF3,</v>
      </c>
      <c r="C18" t="str">
        <f t="shared" si="1"/>
        <v>243,</v>
      </c>
      <c r="D18" t="str">
        <f t="shared" si="2"/>
        <v>11110011</v>
      </c>
      <c r="E18">
        <v>1</v>
      </c>
      <c r="F18">
        <v>1</v>
      </c>
      <c r="G18">
        <v>1</v>
      </c>
      <c r="H18">
        <v>1</v>
      </c>
      <c r="I18">
        <v>0</v>
      </c>
      <c r="J18">
        <v>0</v>
      </c>
      <c r="K18">
        <v>1</v>
      </c>
      <c r="L18">
        <v>1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11000000</v>
      </c>
      <c r="V18" t="str">
        <f t="shared" si="4"/>
        <v>192,</v>
      </c>
      <c r="W18" t="str">
        <f t="shared" si="5"/>
        <v xml:space="preserve"> 0xC0,</v>
      </c>
      <c r="X18" t="s">
        <v>0</v>
      </c>
      <c r="Y18" t="s">
        <v>1</v>
      </c>
      <c r="AC18" t="str">
        <f t="shared" si="6"/>
        <v xml:space="preserve"> 0xF3,</v>
      </c>
      <c r="AD18" t="str">
        <f t="shared" si="7"/>
        <v>243,</v>
      </c>
      <c r="AE18" t="str">
        <f t="shared" si="8"/>
        <v>11110011</v>
      </c>
      <c r="AF18">
        <v>1</v>
      </c>
      <c r="AG18">
        <v>1</v>
      </c>
      <c r="AH18">
        <v>1</v>
      </c>
      <c r="AI18">
        <v>1</v>
      </c>
      <c r="AJ18">
        <v>0</v>
      </c>
      <c r="AK18">
        <v>0</v>
      </c>
      <c r="AL18">
        <v>1</v>
      </c>
      <c r="AM18">
        <v>1</v>
      </c>
      <c r="AN18">
        <v>1</v>
      </c>
      <c r="AO18">
        <v>1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11000000</v>
      </c>
      <c r="AW18" t="str">
        <f t="shared" si="10"/>
        <v>192,</v>
      </c>
      <c r="AX18" t="str">
        <f t="shared" si="11"/>
        <v xml:space="preserve"> 0xC0,</v>
      </c>
      <c r="AY18" t="s">
        <v>0</v>
      </c>
      <c r="AZ18" t="s">
        <v>1</v>
      </c>
      <c r="BD18" t="str">
        <f t="shared" si="12"/>
        <v xml:space="preserve"> 0xF3,</v>
      </c>
      <c r="BE18" t="str">
        <f t="shared" si="13"/>
        <v>243,</v>
      </c>
      <c r="BF18" t="str">
        <f t="shared" si="14"/>
        <v>11110011</v>
      </c>
      <c r="BG18">
        <v>1</v>
      </c>
      <c r="BH18">
        <v>1</v>
      </c>
      <c r="BI18">
        <v>1</v>
      </c>
      <c r="BJ18">
        <v>1</v>
      </c>
      <c r="BK18">
        <v>0</v>
      </c>
      <c r="BL18">
        <v>0</v>
      </c>
      <c r="BM18">
        <v>1</v>
      </c>
      <c r="BN18">
        <v>1</v>
      </c>
      <c r="BO18">
        <v>1</v>
      </c>
      <c r="BP18">
        <v>1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11000000</v>
      </c>
      <c r="BX18" t="str">
        <f t="shared" si="16"/>
        <v>192,</v>
      </c>
      <c r="BY18" t="str">
        <f t="shared" si="17"/>
        <v xml:space="preserve"> 0xC0,</v>
      </c>
      <c r="BZ18" t="s">
        <v>0</v>
      </c>
      <c r="CA18" t="s">
        <v>1</v>
      </c>
    </row>
    <row r="19" spans="1:79">
      <c r="B19" t="str">
        <f t="shared" si="0"/>
        <v xml:space="preserve"> 0xFF,</v>
      </c>
      <c r="C19" t="str">
        <f t="shared" si="1"/>
        <v>255,</v>
      </c>
      <c r="D19" t="str">
        <f t="shared" si="2"/>
        <v>11111111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10000000</v>
      </c>
      <c r="V19" t="str">
        <f t="shared" si="4"/>
        <v>128,</v>
      </c>
      <c r="W19" t="str">
        <f t="shared" si="5"/>
        <v xml:space="preserve"> 0x80,</v>
      </c>
      <c r="X19" t="s">
        <v>0</v>
      </c>
      <c r="Y19" t="s">
        <v>1</v>
      </c>
      <c r="AC19" t="str">
        <f t="shared" si="6"/>
        <v xml:space="preserve"> 0x7F,</v>
      </c>
      <c r="AD19" t="str">
        <f t="shared" si="7"/>
        <v>127,</v>
      </c>
      <c r="AE19" t="str">
        <f t="shared" si="8"/>
        <v>01111111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10000000</v>
      </c>
      <c r="AW19" t="str">
        <f t="shared" si="10"/>
        <v>128,</v>
      </c>
      <c r="AX19" t="str">
        <f t="shared" si="11"/>
        <v xml:space="preserve"> 0x80,</v>
      </c>
      <c r="AY19" t="s">
        <v>0</v>
      </c>
      <c r="AZ19" t="s">
        <v>1</v>
      </c>
      <c r="BD19" t="str">
        <f t="shared" si="12"/>
        <v xml:space="preserve"> 0x7F,</v>
      </c>
      <c r="BE19" t="str">
        <f t="shared" si="13"/>
        <v>127,</v>
      </c>
      <c r="BF19" t="str">
        <f t="shared" si="14"/>
        <v>01111111</v>
      </c>
      <c r="BG19">
        <v>0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11000000</v>
      </c>
      <c r="BX19" t="str">
        <f t="shared" si="16"/>
        <v>192,</v>
      </c>
      <c r="BY19" t="str">
        <f t="shared" si="17"/>
        <v xml:space="preserve"> 0xC0,</v>
      </c>
      <c r="BZ19" t="s">
        <v>0</v>
      </c>
      <c r="CA19" t="s">
        <v>1</v>
      </c>
    </row>
    <row r="20" spans="1:79">
      <c r="B20" t="str">
        <f t="shared" si="0"/>
        <v xml:space="preserve"> 0xEF,</v>
      </c>
      <c r="C20" t="str">
        <f t="shared" si="1"/>
        <v>239,</v>
      </c>
      <c r="D20" t="str">
        <f t="shared" si="2"/>
        <v>11101111</v>
      </c>
      <c r="E20">
        <v>1</v>
      </c>
      <c r="F20">
        <v>1</v>
      </c>
      <c r="G20">
        <v>1</v>
      </c>
      <c r="H20">
        <v>0</v>
      </c>
      <c r="I20">
        <v>1</v>
      </c>
      <c r="J20">
        <v>1</v>
      </c>
      <c r="K20">
        <v>1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0x3F,</v>
      </c>
      <c r="AD20" t="str">
        <f t="shared" si="7"/>
        <v>63,</v>
      </c>
      <c r="AE20" t="str">
        <f t="shared" si="8"/>
        <v>00111111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0x3D,</v>
      </c>
      <c r="BE20" t="str">
        <f t="shared" si="13"/>
        <v>61,</v>
      </c>
      <c r="BF20" t="str">
        <f t="shared" si="14"/>
        <v>00111101</v>
      </c>
      <c r="BG20">
        <v>0</v>
      </c>
      <c r="BH20">
        <v>0</v>
      </c>
      <c r="BI20">
        <v>1</v>
      </c>
      <c r="BJ20">
        <v>1</v>
      </c>
      <c r="BK20">
        <v>1</v>
      </c>
      <c r="BL20">
        <v>1</v>
      </c>
      <c r="BM20">
        <v>0</v>
      </c>
      <c r="BN20">
        <v>1</v>
      </c>
      <c r="BO20">
        <v>1</v>
      </c>
      <c r="BP20">
        <v>1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11000000</v>
      </c>
      <c r="BX20" t="str">
        <f t="shared" si="16"/>
        <v>192,</v>
      </c>
      <c r="BY20" t="str">
        <f t="shared" si="17"/>
        <v xml:space="preserve"> 0xC0,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10,</v>
      </c>
      <c r="V22" t="str">
        <f>Y20&amp;DEC2HEX(U22,2)&amp;X20</f>
        <v xml:space="preserve"> 0x0A,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10,</v>
      </c>
      <c r="AW22" t="str">
        <f>AZ20&amp;DEC2HEX(AV22,2)&amp;AY20</f>
        <v xml:space="preserve"> 0x0A,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10,</v>
      </c>
      <c r="BX22" t="str">
        <f>CA20&amp;DEC2HEX(BW22,2)&amp;BZ20</f>
        <v xml:space="preserve"> 0x0A,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10,224,0,224,0,224,0,224,0,239,0,255,128,243,192,225,192,225,192,225,192,225,192,225,192,225,192,243,192,255,128,239,0,//b//98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10,0,0,0,0,0,0,0,0,63,0,127,128,243,192,225,192,224,0,224,0,224,0,224,0,225,192,243,192,127,128,63,0,//c//99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10,1,192,1,192,1,192,1,192,61,192,127,192,243,192,225,192,225,192,225,192,225,192,225,192,225,192,243,192,127,192,61,192,//d//100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0x0A, 0xE0, 0x00, 0xE0, 0x00, 0xE0, 0x00, 0xE0, 0x00, 0xEF, 0x00, 0xFF, 0x80, 0xF3, 0xC0, 0xE1, 0xC0, 0xE1, 0xC0, 0xE1, 0xC0, 0xE1, 0xC0, 0xE1, 0xC0, 0xE1, 0xC0, 0xF3, 0xC0, 0xFF, 0x80, 0xEF, 0x00,//b//98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0x0A, 0x00, 0x00, 0x00, 0x00, 0x00, 0x00, 0x00, 0x00, 0x3F, 0x00, 0x7F, 0x80, 0xF3, 0xC0, 0xE1, 0xC0, 0xE0, 0x00, 0xE0, 0x00, 0xE0, 0x00, 0xE0, 0x00, 0xE1, 0xC0, 0xF3, 0xC0, 0x7F, 0x80, 0x3F, 0x00,//c//99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0x0A, 0x01, 0xC0, 0x01, 0xC0, 0x01, 0xC0, 0x01, 0xC0, 0x3D, 0xC0, 0x7F, 0xC0, 0xF3, 0xC0, 0xE1, 0xC0, 0xE1, 0xC0, 0xE1, 0xC0, 0xE1, 0xC0, 0xE1, 0xC0, 0xE1, 0xC0, 0xF3, 0xC0, 0x7F, 0xC0, 0x3D, 0xC0,//d//100</v>
      </c>
    </row>
    <row r="28" spans="1:79">
      <c r="A28" s="1" t="str">
        <f>$B$24</f>
        <v>10,224,0,224,0,224,0,224,0,239,0,255,128,243,192,225,192,225,192,225,192,225,192,225,192,225,192,243,192,255,128,239,0,//b//98</v>
      </c>
      <c r="E28" t="s">
        <v>4</v>
      </c>
      <c r="AB28" s="1" t="str">
        <f>$AC$24</f>
        <v>10,0,0,0,0,0,0,0,0,63,0,127,128,243,192,225,192,224,0,224,0,224,0,224,0,225,192,243,192,127,128,63,0,//c//99</v>
      </c>
      <c r="AF28" t="s">
        <v>4</v>
      </c>
      <c r="BC28" s="1" t="str">
        <f>$BD$24</f>
        <v>10,1,192,1,192,1,192,1,192,61,192,127,192,243,192,225,192,225,192,225,192,225,192,225,192,225,192,243,192,127,192,61,192,//d//100</v>
      </c>
      <c r="BG28" t="s">
        <v>4</v>
      </c>
    </row>
    <row r="29" spans="1:79">
      <c r="A29" s="2" t="str">
        <f>$B$25</f>
        <v xml:space="preserve"> 0x0A, 0xE0, 0x00, 0xE0, 0x00, 0xE0, 0x00, 0xE0, 0x00, 0xEF, 0x00, 0xFF, 0x80, 0xF3, 0xC0, 0xE1, 0xC0, 0xE1, 0xC0, 0xE1, 0xC0, 0xE1, 0xC0, 0xE1, 0xC0, 0xE1, 0xC0, 0xF3, 0xC0, 0xFF, 0x80, 0xEF, 0x00,//b//98</v>
      </c>
      <c r="E29" t="s">
        <v>3</v>
      </c>
      <c r="AB29" s="2" t="str">
        <f>$AC$25</f>
        <v xml:space="preserve"> 0x0A, 0x00, 0x00, 0x00, 0x00, 0x00, 0x00, 0x00, 0x00, 0x3F, 0x00, 0x7F, 0x80, 0xF3, 0xC0, 0xE1, 0xC0, 0xE0, 0x00, 0xE0, 0x00, 0xE0, 0x00, 0xE0, 0x00, 0xE1, 0xC0, 0xF3, 0xC0, 0x7F, 0x80, 0x3F, 0x00,//c//99</v>
      </c>
      <c r="AF29" t="s">
        <v>3</v>
      </c>
      <c r="BC29" s="2" t="str">
        <f>$BD$25</f>
        <v xml:space="preserve"> 0x0A, 0x01, 0xC0, 0x01, 0xC0, 0x01, 0xC0, 0x01, 0xC0, 0x3D, 0xC0, 0x7F, 0xC0, 0xF3, 0xC0, 0xE1, 0xC0, 0xE1, 0xC0, 0xE1, 0xC0, 0xE1, 0xC0, 0xE1, 0xC0, 0xE1, 0xC0, 0xF3, 0xC0, 0x7F, 0xC0, 0x3D, 0xC0,//d//100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18:N19 H8:L12 E5:N5 H13:K15 M8:N17 G8:G17 L13:L17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7 N18 M18:M19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35" priority="11" operator="greaterThan">
      <formula>1</formula>
    </cfRule>
  </conditionalFormatting>
  <conditionalFormatting sqref="AH6:AO7 AH18:AO19 AF5:AO5 AF6:AG20 AH8:AM17 AH20:AI20 AK20:AM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19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34" priority="6" operator="greaterThan">
      <formula>1</formula>
    </cfRule>
  </conditionalFormatting>
  <conditionalFormatting sqref="BI6:BP7 BI18:BP19 BJ8:BN12 BG5:BP5 BJ13:BM15 BI8:BI17 BI20 BG6:BH20 BJ16:BK17 BN13:BN17 BO8:BP17 BN20:BP20 BL16:BM16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33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30"/>
  <dimension ref="A4:CB29"/>
  <sheetViews>
    <sheetView workbookViewId="0">
      <selection activeCell="L30" sqref="L30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101</v>
      </c>
      <c r="Z4" t="s">
        <v>5</v>
      </c>
      <c r="AB4" s="3">
        <v>102</v>
      </c>
      <c r="BA4" t="s">
        <v>5</v>
      </c>
      <c r="BC4" s="3">
        <v>103</v>
      </c>
      <c r="CB4" t="s">
        <v>5</v>
      </c>
    </row>
    <row r="5" spans="1:80">
      <c r="A5" s="3" t="s">
        <v>270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269</v>
      </c>
      <c r="AC5" t="str">
        <f>BA5&amp;AZ5&amp;BIN2HEX(AE5,2)&amp;AY5</f>
        <v xml:space="preserve"> 0x0F,</v>
      </c>
      <c r="AD5" t="str">
        <f>BA5&amp;BIN2DEC(AE5)&amp;AY5</f>
        <v>15,</v>
      </c>
      <c r="AE5" t="str">
        <f>AF5&amp;AG5&amp;AH5&amp;AI5&amp;AJ5&amp;AK5&amp;AL5&amp;AM5</f>
        <v>00001111</v>
      </c>
      <c r="AF5">
        <v>0</v>
      </c>
      <c r="AG5">
        <v>0</v>
      </c>
      <c r="AH5">
        <v>0</v>
      </c>
      <c r="AI5">
        <v>0</v>
      </c>
      <c r="AJ5">
        <v>1</v>
      </c>
      <c r="AK5">
        <v>1</v>
      </c>
      <c r="AL5">
        <v>1</v>
      </c>
      <c r="AM5">
        <v>1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271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0x1F,</v>
      </c>
      <c r="AD6" t="str">
        <f t="shared" ref="AD6:AD20" si="7">BA6&amp;BIN2DEC(AE6)&amp;AY6</f>
        <v>31,</v>
      </c>
      <c r="AE6" t="str">
        <f t="shared" ref="AE6:AE20" si="8">AF6&amp;AG6&amp;AH6&amp;AI6&amp;AJ6&amp;AK6&amp;AL6&amp;AM6</f>
        <v>00011111</v>
      </c>
      <c r="AF6">
        <v>0</v>
      </c>
      <c r="AG6">
        <v>0</v>
      </c>
      <c r="AH6">
        <v>0</v>
      </c>
      <c r="AI6">
        <v>1</v>
      </c>
      <c r="AJ6">
        <v>1</v>
      </c>
      <c r="AK6">
        <v>1</v>
      </c>
      <c r="AL6">
        <v>1</v>
      </c>
      <c r="AM6">
        <v>1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0x3C,</v>
      </c>
      <c r="AD7" t="str">
        <f t="shared" si="7"/>
        <v>60,</v>
      </c>
      <c r="AE7" t="str">
        <f t="shared" si="8"/>
        <v>00111100</v>
      </c>
      <c r="AF7">
        <v>0</v>
      </c>
      <c r="AG7">
        <v>0</v>
      </c>
      <c r="AH7">
        <v>1</v>
      </c>
      <c r="AI7">
        <v>1</v>
      </c>
      <c r="AJ7">
        <v>1</v>
      </c>
      <c r="AK7">
        <v>1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0x38,</v>
      </c>
      <c r="AD8" t="str">
        <f t="shared" si="7"/>
        <v>56,</v>
      </c>
      <c r="AE8" t="str">
        <f t="shared" si="8"/>
        <v>00111000</v>
      </c>
      <c r="AF8">
        <v>0</v>
      </c>
      <c r="AG8">
        <v>0</v>
      </c>
      <c r="AH8">
        <v>1</v>
      </c>
      <c r="AI8">
        <v>1</v>
      </c>
      <c r="AJ8">
        <v>1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0x3F,</v>
      </c>
      <c r="C9" t="str">
        <f t="shared" si="1"/>
        <v>63,</v>
      </c>
      <c r="D9" t="str">
        <f t="shared" si="2"/>
        <v>00111111</v>
      </c>
      <c r="E9">
        <v>0</v>
      </c>
      <c r="F9">
        <v>0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0xFF,</v>
      </c>
      <c r="AD9" t="str">
        <f t="shared" si="7"/>
        <v>255,</v>
      </c>
      <c r="AE9" t="str">
        <f t="shared" si="8"/>
        <v>11111111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0x3D,</v>
      </c>
      <c r="BE9" t="str">
        <f t="shared" si="13"/>
        <v>61,</v>
      </c>
      <c r="BF9" t="str">
        <f t="shared" si="14"/>
        <v>00111101</v>
      </c>
      <c r="BG9">
        <v>0</v>
      </c>
      <c r="BH9">
        <v>0</v>
      </c>
      <c r="BI9">
        <v>1</v>
      </c>
      <c r="BJ9">
        <v>1</v>
      </c>
      <c r="BK9">
        <v>1</v>
      </c>
      <c r="BL9">
        <v>1</v>
      </c>
      <c r="BM9">
        <v>0</v>
      </c>
      <c r="BN9">
        <v>1</v>
      </c>
      <c r="BO9">
        <v>1</v>
      </c>
      <c r="BP9">
        <v>1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11000000</v>
      </c>
      <c r="BX9" t="str">
        <f t="shared" si="16"/>
        <v>192,</v>
      </c>
      <c r="BY9" t="str">
        <f t="shared" si="17"/>
        <v xml:space="preserve"> 0xC0,</v>
      </c>
      <c r="BZ9" t="s">
        <v>0</v>
      </c>
      <c r="CA9" t="s">
        <v>1</v>
      </c>
    </row>
    <row r="10" spans="1:80">
      <c r="B10" t="str">
        <f t="shared" si="0"/>
        <v xml:space="preserve"> 0x7F,</v>
      </c>
      <c r="C10" t="str">
        <f t="shared" si="1"/>
        <v>127,</v>
      </c>
      <c r="D10" t="str">
        <f t="shared" si="2"/>
        <v>01111111</v>
      </c>
      <c r="E10">
        <v>0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10000000</v>
      </c>
      <c r="V10" t="str">
        <f t="shared" si="4"/>
        <v>128,</v>
      </c>
      <c r="W10" t="str">
        <f t="shared" si="5"/>
        <v xml:space="preserve"> 0x80,</v>
      </c>
      <c r="X10" t="s">
        <v>0</v>
      </c>
      <c r="Y10" t="s">
        <v>1</v>
      </c>
      <c r="AC10" t="str">
        <f t="shared" si="6"/>
        <v xml:space="preserve"> 0xFF,</v>
      </c>
      <c r="AD10" t="str">
        <f t="shared" si="7"/>
        <v>255,</v>
      </c>
      <c r="AE10" t="str">
        <f t="shared" si="8"/>
        <v>11111111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0x7F,</v>
      </c>
      <c r="BE10" t="str">
        <f t="shared" si="13"/>
        <v>127,</v>
      </c>
      <c r="BF10" t="str">
        <f t="shared" si="14"/>
        <v>01111111</v>
      </c>
      <c r="BG10">
        <v>0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11000000</v>
      </c>
      <c r="BX10" t="str">
        <f t="shared" si="16"/>
        <v>192,</v>
      </c>
      <c r="BY10" t="str">
        <f t="shared" si="17"/>
        <v xml:space="preserve"> 0xC0,</v>
      </c>
      <c r="BZ10" t="s">
        <v>0</v>
      </c>
      <c r="CA10" t="s">
        <v>1</v>
      </c>
    </row>
    <row r="11" spans="1:80">
      <c r="B11" t="str">
        <f t="shared" si="0"/>
        <v xml:space="preserve"> 0xF3,</v>
      </c>
      <c r="C11" t="str">
        <f t="shared" si="1"/>
        <v>243,</v>
      </c>
      <c r="D11" t="str">
        <f t="shared" si="2"/>
        <v>11110011</v>
      </c>
      <c r="E11">
        <v>1</v>
      </c>
      <c r="F11">
        <v>1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11000000</v>
      </c>
      <c r="V11" t="str">
        <f t="shared" si="4"/>
        <v>192,</v>
      </c>
      <c r="W11" t="str">
        <f t="shared" si="5"/>
        <v xml:space="preserve"> 0xC0,</v>
      </c>
      <c r="X11" t="s">
        <v>0</v>
      </c>
      <c r="Y11" t="s">
        <v>1</v>
      </c>
      <c r="AC11" t="str">
        <f t="shared" si="6"/>
        <v xml:space="preserve"> 0x38,</v>
      </c>
      <c r="AD11" t="str">
        <f t="shared" si="7"/>
        <v>56,</v>
      </c>
      <c r="AE11" t="str">
        <f t="shared" si="8"/>
        <v>00111000</v>
      </c>
      <c r="AF11">
        <v>0</v>
      </c>
      <c r="AG11">
        <v>0</v>
      </c>
      <c r="AH11">
        <v>1</v>
      </c>
      <c r="AI11">
        <v>1</v>
      </c>
      <c r="AJ11">
        <v>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0xF3,</v>
      </c>
      <c r="BE11" t="str">
        <f t="shared" si="13"/>
        <v>243,</v>
      </c>
      <c r="BF11" t="str">
        <f t="shared" si="14"/>
        <v>11110011</v>
      </c>
      <c r="BG11">
        <v>1</v>
      </c>
      <c r="BH11">
        <v>1</v>
      </c>
      <c r="BI11">
        <v>1</v>
      </c>
      <c r="BJ11">
        <v>1</v>
      </c>
      <c r="BK11">
        <v>0</v>
      </c>
      <c r="BL11">
        <v>0</v>
      </c>
      <c r="BM11">
        <v>1</v>
      </c>
      <c r="BN11">
        <v>1</v>
      </c>
      <c r="BO11">
        <v>1</v>
      </c>
      <c r="BP11">
        <v>1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11000000</v>
      </c>
      <c r="BX11" t="str">
        <f t="shared" si="16"/>
        <v>192,</v>
      </c>
      <c r="BY11" t="str">
        <f t="shared" si="17"/>
        <v xml:space="preserve"> 0xC0,</v>
      </c>
      <c r="BZ11" t="s">
        <v>0</v>
      </c>
      <c r="CA11" t="s">
        <v>1</v>
      </c>
    </row>
    <row r="12" spans="1:80">
      <c r="B12" t="str">
        <f t="shared" si="0"/>
        <v xml:space="preserve"> 0xE1,</v>
      </c>
      <c r="C12" t="str">
        <f t="shared" si="1"/>
        <v>225,</v>
      </c>
      <c r="D12" t="str">
        <f t="shared" si="2"/>
        <v>11100001</v>
      </c>
      <c r="E12">
        <v>1</v>
      </c>
      <c r="F12">
        <v>1</v>
      </c>
      <c r="G12">
        <v>1</v>
      </c>
      <c r="H12">
        <v>0</v>
      </c>
      <c r="I12">
        <v>0</v>
      </c>
      <c r="J12">
        <v>0</v>
      </c>
      <c r="K12">
        <v>0</v>
      </c>
      <c r="L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0x38,</v>
      </c>
      <c r="AD12" t="str">
        <f t="shared" si="7"/>
        <v>56,</v>
      </c>
      <c r="AE12" t="str">
        <f t="shared" si="8"/>
        <v>00111000</v>
      </c>
      <c r="AF12">
        <v>0</v>
      </c>
      <c r="AG12">
        <v>0</v>
      </c>
      <c r="AH12">
        <v>1</v>
      </c>
      <c r="AI12">
        <v>1</v>
      </c>
      <c r="AJ12">
        <v>1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0xE1,</v>
      </c>
      <c r="BE12" t="str">
        <f t="shared" si="13"/>
        <v>225,</v>
      </c>
      <c r="BF12" t="str">
        <f t="shared" si="14"/>
        <v>11100001</v>
      </c>
      <c r="BG12">
        <v>1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0</v>
      </c>
      <c r="BN12">
        <v>1</v>
      </c>
      <c r="BO12">
        <v>1</v>
      </c>
      <c r="BP12">
        <v>1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11000000</v>
      </c>
      <c r="BX12" t="str">
        <f t="shared" si="16"/>
        <v>192,</v>
      </c>
      <c r="BY12" t="str">
        <f t="shared" si="17"/>
        <v xml:space="preserve"> 0xC0,</v>
      </c>
      <c r="BZ12" t="s">
        <v>0</v>
      </c>
      <c r="CA12" t="s">
        <v>1</v>
      </c>
    </row>
    <row r="13" spans="1:80">
      <c r="B13" t="str">
        <f t="shared" si="0"/>
        <v xml:space="preserve"> 0xE1,</v>
      </c>
      <c r="C13" t="str">
        <f t="shared" si="1"/>
        <v>225,</v>
      </c>
      <c r="D13" t="str">
        <f t="shared" si="2"/>
        <v>11100001</v>
      </c>
      <c r="E13">
        <v>1</v>
      </c>
      <c r="F13">
        <v>1</v>
      </c>
      <c r="G13">
        <v>1</v>
      </c>
      <c r="H13">
        <v>0</v>
      </c>
      <c r="I13">
        <v>0</v>
      </c>
      <c r="J13">
        <v>0</v>
      </c>
      <c r="K13">
        <v>0</v>
      </c>
      <c r="L13">
        <v>1</v>
      </c>
      <c r="M13">
        <v>1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11000000</v>
      </c>
      <c r="V13" t="str">
        <f t="shared" si="4"/>
        <v>192,</v>
      </c>
      <c r="W13" t="str">
        <f t="shared" si="5"/>
        <v xml:space="preserve"> 0xC0,</v>
      </c>
      <c r="X13" t="s">
        <v>0</v>
      </c>
      <c r="Y13" t="s">
        <v>1</v>
      </c>
      <c r="AC13" t="str">
        <f t="shared" si="6"/>
        <v xml:space="preserve"> 0x38,</v>
      </c>
      <c r="AD13" t="str">
        <f t="shared" si="7"/>
        <v>56,</v>
      </c>
      <c r="AE13" t="str">
        <f t="shared" si="8"/>
        <v>00111000</v>
      </c>
      <c r="AF13">
        <v>0</v>
      </c>
      <c r="AG13">
        <v>0</v>
      </c>
      <c r="AH13">
        <v>1</v>
      </c>
      <c r="AI13">
        <v>1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0xF3,</v>
      </c>
      <c r="BE13" t="str">
        <f t="shared" si="13"/>
        <v>243,</v>
      </c>
      <c r="BF13" t="str">
        <f t="shared" si="14"/>
        <v>11110011</v>
      </c>
      <c r="BG13">
        <v>1</v>
      </c>
      <c r="BH13">
        <v>1</v>
      </c>
      <c r="BI13">
        <v>1</v>
      </c>
      <c r="BJ13">
        <v>1</v>
      </c>
      <c r="BK13">
        <v>0</v>
      </c>
      <c r="BL13">
        <v>0</v>
      </c>
      <c r="BM13">
        <v>1</v>
      </c>
      <c r="BN13">
        <v>1</v>
      </c>
      <c r="BO13">
        <v>1</v>
      </c>
      <c r="BP13">
        <v>1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11000000</v>
      </c>
      <c r="BX13" t="str">
        <f t="shared" si="16"/>
        <v>192,</v>
      </c>
      <c r="BY13" t="str">
        <f t="shared" si="17"/>
        <v xml:space="preserve"> 0xC0,</v>
      </c>
      <c r="BZ13" t="s">
        <v>0</v>
      </c>
      <c r="CA13" t="s">
        <v>1</v>
      </c>
    </row>
    <row r="14" spans="1:80">
      <c r="B14" t="str">
        <f t="shared" si="0"/>
        <v xml:space="preserve"> 0xFF,</v>
      </c>
      <c r="C14" t="str">
        <f t="shared" si="1"/>
        <v>255,</v>
      </c>
      <c r="D14" t="str">
        <f t="shared" si="2"/>
        <v>11111111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11000000</v>
      </c>
      <c r="V14" t="str">
        <f t="shared" si="4"/>
        <v>192,</v>
      </c>
      <c r="W14" t="str">
        <f t="shared" si="5"/>
        <v xml:space="preserve"> 0xC0,</v>
      </c>
      <c r="X14" t="s">
        <v>0</v>
      </c>
      <c r="Y14" t="s">
        <v>1</v>
      </c>
      <c r="AC14" t="str">
        <f t="shared" si="6"/>
        <v xml:space="preserve"> 0x38,</v>
      </c>
      <c r="AD14" t="str">
        <f t="shared" si="7"/>
        <v>56,</v>
      </c>
      <c r="AE14" t="str">
        <f t="shared" si="8"/>
        <v>00111000</v>
      </c>
      <c r="AF14">
        <v>0</v>
      </c>
      <c r="AG14">
        <v>0</v>
      </c>
      <c r="AH14">
        <v>1</v>
      </c>
      <c r="AI14">
        <v>1</v>
      </c>
      <c r="AJ14">
        <v>1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0x7F,</v>
      </c>
      <c r="BE14" t="str">
        <f t="shared" si="13"/>
        <v>127,</v>
      </c>
      <c r="BF14" t="str">
        <f t="shared" si="14"/>
        <v>01111111</v>
      </c>
      <c r="BG14">
        <v>0</v>
      </c>
      <c r="BH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1</v>
      </c>
      <c r="BP14">
        <v>1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11000000</v>
      </c>
      <c r="BX14" t="str">
        <f t="shared" si="16"/>
        <v>192,</v>
      </c>
      <c r="BY14" t="str">
        <f t="shared" si="17"/>
        <v xml:space="preserve"> 0xC0,</v>
      </c>
      <c r="BZ14" t="s">
        <v>0</v>
      </c>
      <c r="CA14" t="s">
        <v>1</v>
      </c>
    </row>
    <row r="15" spans="1:80">
      <c r="B15" t="str">
        <f t="shared" si="0"/>
        <v xml:space="preserve"> 0xFF,</v>
      </c>
      <c r="C15" t="str">
        <f t="shared" si="1"/>
        <v>255,</v>
      </c>
      <c r="D15" t="str">
        <f t="shared" si="2"/>
        <v>11111111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11000000</v>
      </c>
      <c r="V15" t="str">
        <f t="shared" si="4"/>
        <v>192,</v>
      </c>
      <c r="W15" t="str">
        <f t="shared" si="5"/>
        <v xml:space="preserve"> 0xC0,</v>
      </c>
      <c r="X15" t="s">
        <v>0</v>
      </c>
      <c r="Y15" t="s">
        <v>1</v>
      </c>
      <c r="AC15" t="str">
        <f t="shared" si="6"/>
        <v xml:space="preserve"> 0x38,</v>
      </c>
      <c r="AD15" t="str">
        <f t="shared" si="7"/>
        <v>56,</v>
      </c>
      <c r="AE15" t="str">
        <f t="shared" si="8"/>
        <v>00111000</v>
      </c>
      <c r="AF15">
        <v>0</v>
      </c>
      <c r="AG15">
        <v>0</v>
      </c>
      <c r="AH15">
        <v>1</v>
      </c>
      <c r="AI15">
        <v>1</v>
      </c>
      <c r="AJ15">
        <v>1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0x3D,</v>
      </c>
      <c r="BE15" t="str">
        <f t="shared" si="13"/>
        <v>61,</v>
      </c>
      <c r="BF15" t="str">
        <f t="shared" si="14"/>
        <v>00111101</v>
      </c>
      <c r="BG15">
        <v>0</v>
      </c>
      <c r="BH15">
        <v>0</v>
      </c>
      <c r="BI15">
        <v>1</v>
      </c>
      <c r="BJ15">
        <v>1</v>
      </c>
      <c r="BK15">
        <v>1</v>
      </c>
      <c r="BL15">
        <v>1</v>
      </c>
      <c r="BM15">
        <v>0</v>
      </c>
      <c r="BN15">
        <v>1</v>
      </c>
      <c r="BO15">
        <v>1</v>
      </c>
      <c r="BP15">
        <v>1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11000000</v>
      </c>
      <c r="BX15" t="str">
        <f t="shared" si="16"/>
        <v>192,</v>
      </c>
      <c r="BY15" t="str">
        <f t="shared" si="17"/>
        <v xml:space="preserve"> 0xC0,</v>
      </c>
      <c r="BZ15" t="s">
        <v>0</v>
      </c>
      <c r="CA15" t="s">
        <v>1</v>
      </c>
    </row>
    <row r="16" spans="1:80">
      <c r="B16" t="str">
        <f t="shared" si="0"/>
        <v xml:space="preserve"> 0xE0,</v>
      </c>
      <c r="C16" t="str">
        <f t="shared" si="1"/>
        <v>224,</v>
      </c>
      <c r="D16" t="str">
        <f t="shared" si="2"/>
        <v>11100000</v>
      </c>
      <c r="E16">
        <v>1</v>
      </c>
      <c r="F16">
        <v>1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0x38,</v>
      </c>
      <c r="AD16" t="str">
        <f t="shared" si="7"/>
        <v>56,</v>
      </c>
      <c r="AE16" t="str">
        <f t="shared" si="8"/>
        <v>00111000</v>
      </c>
      <c r="AF16">
        <v>0</v>
      </c>
      <c r="AG16">
        <v>0</v>
      </c>
      <c r="AH16">
        <v>1</v>
      </c>
      <c r="AI16">
        <v>1</v>
      </c>
      <c r="AJ16">
        <v>1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0x01,</v>
      </c>
      <c r="BE16" t="str">
        <f t="shared" si="13"/>
        <v>1,</v>
      </c>
      <c r="BF16" t="str">
        <f t="shared" si="14"/>
        <v>00000001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1</v>
      </c>
      <c r="BO16">
        <v>1</v>
      </c>
      <c r="BP16">
        <v>1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11000000</v>
      </c>
      <c r="BX16" t="str">
        <f t="shared" si="16"/>
        <v>192,</v>
      </c>
      <c r="BY16" t="str">
        <f t="shared" si="17"/>
        <v xml:space="preserve"> 0xC0,</v>
      </c>
      <c r="BZ16" t="s">
        <v>0</v>
      </c>
      <c r="CA16" t="s">
        <v>1</v>
      </c>
    </row>
    <row r="17" spans="1:79">
      <c r="B17" t="str">
        <f t="shared" si="0"/>
        <v xml:space="preserve"> 0xE1,</v>
      </c>
      <c r="C17" t="str">
        <f t="shared" si="1"/>
        <v>225,</v>
      </c>
      <c r="D17" t="str">
        <f t="shared" si="2"/>
        <v>11100001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0</v>
      </c>
      <c r="L17">
        <v>1</v>
      </c>
      <c r="M17">
        <v>1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11000000</v>
      </c>
      <c r="V17" t="str">
        <f t="shared" si="4"/>
        <v>192,</v>
      </c>
      <c r="W17" t="str">
        <f t="shared" si="5"/>
        <v xml:space="preserve"> 0xC0,</v>
      </c>
      <c r="X17" t="s">
        <v>0</v>
      </c>
      <c r="Y17" t="s">
        <v>1</v>
      </c>
      <c r="AC17" t="str">
        <f t="shared" si="6"/>
        <v xml:space="preserve"> 0x38,</v>
      </c>
      <c r="AD17" t="str">
        <f t="shared" si="7"/>
        <v>56,</v>
      </c>
      <c r="AE17" t="str">
        <f t="shared" si="8"/>
        <v>00111000</v>
      </c>
      <c r="AF17">
        <v>0</v>
      </c>
      <c r="AG17">
        <v>0</v>
      </c>
      <c r="AH17">
        <v>1</v>
      </c>
      <c r="AI17">
        <v>1</v>
      </c>
      <c r="AJ17">
        <v>1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0xE1,</v>
      </c>
      <c r="BE17" t="str">
        <f t="shared" si="13"/>
        <v>225,</v>
      </c>
      <c r="BF17" t="str">
        <f t="shared" si="14"/>
        <v>11100001</v>
      </c>
      <c r="BG17">
        <v>1</v>
      </c>
      <c r="BH17">
        <v>1</v>
      </c>
      <c r="BI17">
        <v>1</v>
      </c>
      <c r="BJ17">
        <v>0</v>
      </c>
      <c r="BK17">
        <v>0</v>
      </c>
      <c r="BL17">
        <v>0</v>
      </c>
      <c r="BM17">
        <v>0</v>
      </c>
      <c r="BN17">
        <v>1</v>
      </c>
      <c r="BO17">
        <v>1</v>
      </c>
      <c r="BP17">
        <v>1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11000000</v>
      </c>
      <c r="BX17" t="str">
        <f t="shared" si="16"/>
        <v>192,</v>
      </c>
      <c r="BY17" t="str">
        <f t="shared" si="17"/>
        <v xml:space="preserve"> 0xC0,</v>
      </c>
      <c r="BZ17" t="s">
        <v>0</v>
      </c>
      <c r="CA17" t="s">
        <v>1</v>
      </c>
    </row>
    <row r="18" spans="1:79">
      <c r="B18" t="str">
        <f t="shared" si="0"/>
        <v xml:space="preserve"> 0xF3,</v>
      </c>
      <c r="C18" t="str">
        <f t="shared" si="1"/>
        <v>243,</v>
      </c>
      <c r="D18" t="str">
        <f t="shared" si="2"/>
        <v>11110011</v>
      </c>
      <c r="E18">
        <v>1</v>
      </c>
      <c r="F18">
        <v>1</v>
      </c>
      <c r="G18">
        <v>1</v>
      </c>
      <c r="H18">
        <v>1</v>
      </c>
      <c r="I18">
        <v>0</v>
      </c>
      <c r="J18">
        <v>0</v>
      </c>
      <c r="K18">
        <v>1</v>
      </c>
      <c r="L18">
        <v>1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11000000</v>
      </c>
      <c r="V18" t="str">
        <f t="shared" si="4"/>
        <v>192,</v>
      </c>
      <c r="W18" t="str">
        <f t="shared" si="5"/>
        <v xml:space="preserve"> 0xC0,</v>
      </c>
      <c r="X18" t="s">
        <v>0</v>
      </c>
      <c r="Y18" t="s">
        <v>1</v>
      </c>
      <c r="AC18" t="str">
        <f t="shared" si="6"/>
        <v xml:space="preserve"> 0x38,</v>
      </c>
      <c r="AD18" t="str">
        <f t="shared" si="7"/>
        <v>56,</v>
      </c>
      <c r="AE18" t="str">
        <f t="shared" si="8"/>
        <v>00111000</v>
      </c>
      <c r="AF18">
        <v>0</v>
      </c>
      <c r="AG18">
        <v>0</v>
      </c>
      <c r="AH18">
        <v>1</v>
      </c>
      <c r="AI18">
        <v>1</v>
      </c>
      <c r="AJ18">
        <v>1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0xF3,</v>
      </c>
      <c r="BE18" t="str">
        <f t="shared" si="13"/>
        <v>243,</v>
      </c>
      <c r="BF18" t="str">
        <f t="shared" si="14"/>
        <v>11110011</v>
      </c>
      <c r="BG18">
        <v>1</v>
      </c>
      <c r="BH18">
        <v>1</v>
      </c>
      <c r="BI18">
        <v>1</v>
      </c>
      <c r="BJ18">
        <v>1</v>
      </c>
      <c r="BK18">
        <v>0</v>
      </c>
      <c r="BL18">
        <v>0</v>
      </c>
      <c r="BM18">
        <v>1</v>
      </c>
      <c r="BN18">
        <v>1</v>
      </c>
      <c r="BO18">
        <v>1</v>
      </c>
      <c r="BP18">
        <v>1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11000000</v>
      </c>
      <c r="BX18" t="str">
        <f t="shared" si="16"/>
        <v>192,</v>
      </c>
      <c r="BY18" t="str">
        <f t="shared" si="17"/>
        <v xml:space="preserve"> 0xC0,</v>
      </c>
      <c r="BZ18" t="s">
        <v>0</v>
      </c>
      <c r="CA18" t="s">
        <v>1</v>
      </c>
    </row>
    <row r="19" spans="1:79">
      <c r="B19" t="str">
        <f t="shared" si="0"/>
        <v xml:space="preserve"> 0x7F,</v>
      </c>
      <c r="C19" t="str">
        <f t="shared" si="1"/>
        <v>127,</v>
      </c>
      <c r="D19" t="str">
        <f t="shared" si="2"/>
        <v>01111111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10000000</v>
      </c>
      <c r="V19" t="str">
        <f t="shared" si="4"/>
        <v>128,</v>
      </c>
      <c r="W19" t="str">
        <f t="shared" si="5"/>
        <v xml:space="preserve"> 0x80,</v>
      </c>
      <c r="X19" t="s">
        <v>0</v>
      </c>
      <c r="Y19" t="s">
        <v>1</v>
      </c>
      <c r="AC19" t="str">
        <f t="shared" si="6"/>
        <v xml:space="preserve"> 0x38,</v>
      </c>
      <c r="AD19" t="str">
        <f t="shared" si="7"/>
        <v>56,</v>
      </c>
      <c r="AE19" t="str">
        <f t="shared" si="8"/>
        <v>00111000</v>
      </c>
      <c r="AF19">
        <v>0</v>
      </c>
      <c r="AG19">
        <v>0</v>
      </c>
      <c r="AH19">
        <v>1</v>
      </c>
      <c r="AI19">
        <v>1</v>
      </c>
      <c r="AJ19">
        <v>1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0x7F,</v>
      </c>
      <c r="BE19" t="str">
        <f t="shared" si="13"/>
        <v>127,</v>
      </c>
      <c r="BF19" t="str">
        <f t="shared" si="14"/>
        <v>01111111</v>
      </c>
      <c r="BG19">
        <v>0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10000000</v>
      </c>
      <c r="BX19" t="str">
        <f t="shared" si="16"/>
        <v>128,</v>
      </c>
      <c r="BY19" t="str">
        <f t="shared" si="17"/>
        <v xml:space="preserve"> 0x80,</v>
      </c>
      <c r="BZ19" t="s">
        <v>0</v>
      </c>
      <c r="CA19" t="s">
        <v>1</v>
      </c>
    </row>
    <row r="20" spans="1:79">
      <c r="B20" t="str">
        <f t="shared" si="0"/>
        <v xml:space="preserve"> 0x3F,</v>
      </c>
      <c r="C20" t="str">
        <f t="shared" si="1"/>
        <v>63,</v>
      </c>
      <c r="D20" t="str">
        <f t="shared" si="2"/>
        <v>00111111</v>
      </c>
      <c r="E20">
        <v>0</v>
      </c>
      <c r="F20">
        <v>0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0x38,</v>
      </c>
      <c r="AD20" t="str">
        <f t="shared" si="7"/>
        <v>56,</v>
      </c>
      <c r="AE20" t="str">
        <f t="shared" si="8"/>
        <v>00111000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0x3F,</v>
      </c>
      <c r="BE20" t="str">
        <f t="shared" si="13"/>
        <v>63,</v>
      </c>
      <c r="BF20" t="str">
        <f t="shared" si="14"/>
        <v>00111111</v>
      </c>
      <c r="BG20">
        <v>0</v>
      </c>
      <c r="BH20">
        <v>0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10,</v>
      </c>
      <c r="V22" t="str">
        <f>Y20&amp;DEC2HEX(U22,2)&amp;X20</f>
        <v xml:space="preserve"> 0x0A,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8,</v>
      </c>
      <c r="AW22" t="str">
        <f>AZ20&amp;DEC2HEX(AV22,2)&amp;AY20</f>
        <v xml:space="preserve"> 0x08,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10,</v>
      </c>
      <c r="BX22" t="str">
        <f>CA20&amp;DEC2HEX(BW22,2)&amp;BZ20</f>
        <v xml:space="preserve"> 0x0A,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10,0,0,0,0,0,0,0,0,63,0,127,128,243,192,225,192,225,192,255,192,255,192,224,0,225,192,243,192,127,128,63,0,//e//101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8,15,0,31,0,60,0,56,0,255,0,255,0,56,0,56,0,56,0,56,0,56,0,56,0,56,0,56,0,56,0,56,0,//f//102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10,0,0,0,0,0,0,0,0,61,192,127,192,243,192,225,192,243,192,127,192,61,192,1,192,225,192,243,192,127,128,63,0,//g//103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0x0A, 0x00, 0x00, 0x00, 0x00, 0x00, 0x00, 0x00, 0x00, 0x3F, 0x00, 0x7F, 0x80, 0xF3, 0xC0, 0xE1, 0xC0, 0xE1, 0xC0, 0xFF, 0xC0, 0xFF, 0xC0, 0xE0, 0x00, 0xE1, 0xC0, 0xF3, 0xC0, 0x7F, 0x80, 0x3F, 0x00,//e//101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0x08, 0x0F, 0x00, 0x1F, 0x00, 0x3C, 0x00, 0x38, 0x00, 0xFF, 0x00, 0xFF, 0x00, 0x38, 0x00, 0x38, 0x00, 0x38, 0x00, 0x38, 0x00, 0x38, 0x00, 0x38, 0x00, 0x38, 0x00, 0x38, 0x00, 0x38, 0x00, 0x38, 0x00,//f//102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0x0A, 0x00, 0x00, 0x00, 0x00, 0x00, 0x00, 0x00, 0x00, 0x3D, 0xC0, 0x7F, 0xC0, 0xF3, 0xC0, 0xE1, 0xC0, 0xF3, 0xC0, 0x7F, 0xC0, 0x3D, 0xC0, 0x01, 0xC0, 0xE1, 0xC0, 0xF3, 0xC0, 0x7F, 0x80, 0x3F, 0x00,//g//103</v>
      </c>
    </row>
    <row r="28" spans="1:79">
      <c r="A28" s="1" t="str">
        <f>$B$24</f>
        <v>10,0,0,0,0,0,0,0,0,63,0,127,128,243,192,225,192,225,192,255,192,255,192,224,0,225,192,243,192,127,128,63,0,//e//101</v>
      </c>
      <c r="E28" t="s">
        <v>4</v>
      </c>
      <c r="AB28" s="1" t="str">
        <f>$AC$24</f>
        <v>8,15,0,31,0,60,0,56,0,255,0,255,0,56,0,56,0,56,0,56,0,56,0,56,0,56,0,56,0,56,0,56,0,//f//102</v>
      </c>
      <c r="AF28" t="s">
        <v>4</v>
      </c>
      <c r="BC28" s="1" t="str">
        <f>$BD$24</f>
        <v>10,0,0,0,0,0,0,0,0,61,192,127,192,243,192,225,192,243,192,127,192,61,192,1,192,225,192,243,192,127,128,63,0,//g//103</v>
      </c>
      <c r="BG28" t="s">
        <v>4</v>
      </c>
    </row>
    <row r="29" spans="1:79">
      <c r="A29" s="2" t="str">
        <f>$B$25</f>
        <v xml:space="preserve"> 0x0A, 0x00, 0x00, 0x00, 0x00, 0x00, 0x00, 0x00, 0x00, 0x3F, 0x00, 0x7F, 0x80, 0xF3, 0xC0, 0xE1, 0xC0, 0xE1, 0xC0, 0xFF, 0xC0, 0xFF, 0xC0, 0xE0, 0x00, 0xE1, 0xC0, 0xF3, 0xC0, 0x7F, 0x80, 0x3F, 0x00,//e//101</v>
      </c>
      <c r="E29" t="s">
        <v>3</v>
      </c>
      <c r="AB29" s="2" t="str">
        <f>$AC$25</f>
        <v xml:space="preserve"> 0x08, 0x0F, 0x00, 0x1F, 0x00, 0x3C, 0x00, 0x38, 0x00, 0xFF, 0x00, 0xFF, 0x00, 0x38, 0x00, 0x38, 0x00, 0x38, 0x00, 0x38, 0x00, 0x38, 0x00, 0x38, 0x00, 0x38, 0x00, 0x38, 0x00, 0x38, 0x00, 0x38, 0x00,//f//102</v>
      </c>
      <c r="AF29" t="s">
        <v>3</v>
      </c>
      <c r="BC29" s="2" t="str">
        <f>$BD$25</f>
        <v xml:space="preserve"> 0x0A, 0x00, 0x00, 0x00, 0x00, 0x00, 0x00, 0x00, 0x00, 0x3D, 0xC0, 0x7F, 0xC0, 0xF3, 0xC0, 0xE1, 0xC0, 0xF3, 0xC0, 0x7F, 0xC0, 0x3D, 0xC0, 0x01, 0xC0, 0xE1, 0xC0, 0xF3, 0xC0, 0x7F, 0x80, 0x3F, 0x00,//g//103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18:N19 H8:L12 E5:N5 H13:K15 M8:N17 G8:G17 L13:L17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7 N18 M18:M19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32" priority="11" operator="greaterThan">
      <formula>1</formula>
    </cfRule>
  </conditionalFormatting>
  <conditionalFormatting sqref="AH6:AO7 AH18:AO19 AF5:AO5 AF6:AG20 AH8:AM17 AH20:AI20 AK20:AM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19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31" priority="6" operator="greaterThan">
      <formula>1</formula>
    </cfRule>
  </conditionalFormatting>
  <conditionalFormatting sqref="BI6:BP7 BI18:BP19 BJ8:BN12 BG5:BP5 BJ13:BM15 BI8:BI17 BI20 BG6:BH20 BJ16:BK17 BN13:BN17 BO8:BP17 BN20:BP20 BL16:BM16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30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6"/>
  <dimension ref="A4:CB29"/>
  <sheetViews>
    <sheetView workbookViewId="0">
      <selection activeCell="L30" sqref="L30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104</v>
      </c>
      <c r="Z4" t="s">
        <v>5</v>
      </c>
      <c r="AB4" s="3">
        <v>105</v>
      </c>
      <c r="BA4" t="s">
        <v>5</v>
      </c>
      <c r="BC4" s="3">
        <v>106</v>
      </c>
      <c r="CB4" t="s">
        <v>5</v>
      </c>
    </row>
    <row r="5" spans="1:80">
      <c r="A5" s="3" t="s">
        <v>272</v>
      </c>
      <c r="B5" t="str">
        <f>Z5&amp;Y5&amp;BIN2HEX(D5,2)&amp;X5</f>
        <v xml:space="preserve"> 0xE0,</v>
      </c>
      <c r="C5" t="str">
        <f>Z5&amp;BIN2DEC(D5)&amp;X5</f>
        <v>224,</v>
      </c>
      <c r="D5" t="str">
        <f>E5&amp;F5&amp;G5&amp;H5&amp;I5&amp;J5&amp;K5&amp;L5</f>
        <v>11100000</v>
      </c>
      <c r="E5">
        <v>1</v>
      </c>
      <c r="F5">
        <v>1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273</v>
      </c>
      <c r="AC5" t="str">
        <f>BA5&amp;AZ5&amp;BIN2HEX(AE5,2)&amp;AY5</f>
        <v xml:space="preserve"> 0x70,</v>
      </c>
      <c r="AD5" t="str">
        <f>BA5&amp;BIN2DEC(AE5)&amp;AY5</f>
        <v>112,</v>
      </c>
      <c r="AE5" t="str">
        <f>AF5&amp;AG5&amp;AH5&amp;AI5&amp;AJ5&amp;AK5&amp;AL5&amp;AM5</f>
        <v>01110000</v>
      </c>
      <c r="AF5">
        <v>0</v>
      </c>
      <c r="AG5">
        <v>1</v>
      </c>
      <c r="AH5">
        <v>1</v>
      </c>
      <c r="AI5">
        <v>1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274</v>
      </c>
      <c r="BD5" t="str">
        <f>CB5&amp;CA5&amp;BIN2HEX(BF5,2)&amp;BZ5</f>
        <v xml:space="preserve"> 0x0E,</v>
      </c>
      <c r="BE5" t="str">
        <f>CB5&amp;BIN2DEC(BF5)&amp;BZ5</f>
        <v>14,</v>
      </c>
      <c r="BF5" t="str">
        <f>BG5&amp;BH5&amp;BI5&amp;BJ5&amp;BK5&amp;BL5&amp;BM5&amp;BN5</f>
        <v>00001110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0xE0,</v>
      </c>
      <c r="C6" t="str">
        <f t="shared" ref="C6:C20" si="1">Z6&amp;BIN2DEC(D6)&amp;X6</f>
        <v>224,</v>
      </c>
      <c r="D6" t="str">
        <f t="shared" ref="D6:D20" si="2">E6&amp;F6&amp;G6&amp;H6&amp;I6&amp;J6&amp;K6&amp;L6</f>
        <v>11100000</v>
      </c>
      <c r="E6">
        <v>1</v>
      </c>
      <c r="F6">
        <v>1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0x70,</v>
      </c>
      <c r="AD6" t="str">
        <f t="shared" ref="AD6:AD20" si="7">BA6&amp;BIN2DEC(AE6)&amp;AY6</f>
        <v>112,</v>
      </c>
      <c r="AE6" t="str">
        <f t="shared" ref="AE6:AE20" si="8">AF6&amp;AG6&amp;AH6&amp;AI6&amp;AJ6&amp;AK6&amp;AL6&amp;AM6</f>
        <v>01110000</v>
      </c>
      <c r="AF6">
        <v>0</v>
      </c>
      <c r="AG6">
        <v>1</v>
      </c>
      <c r="AH6">
        <v>1</v>
      </c>
      <c r="AI6">
        <v>1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0x0E,</v>
      </c>
      <c r="BE6" t="str">
        <f t="shared" ref="BE6:BE20" si="13">CB6&amp;BIN2DEC(BF6)&amp;BZ6</f>
        <v>14,</v>
      </c>
      <c r="BF6" t="str">
        <f t="shared" ref="BF6:BF20" si="14">BG6&amp;BH6&amp;BI6&amp;BJ6&amp;BK6&amp;BL6&amp;BM6&amp;BN6</f>
        <v>00001110</v>
      </c>
      <c r="BG6">
        <v>0</v>
      </c>
      <c r="BH6">
        <v>0</v>
      </c>
      <c r="BI6">
        <v>0</v>
      </c>
      <c r="BJ6">
        <v>0</v>
      </c>
      <c r="BK6">
        <v>1</v>
      </c>
      <c r="BL6">
        <v>1</v>
      </c>
      <c r="BM6">
        <v>1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0xE0,</v>
      </c>
      <c r="C7" t="str">
        <f t="shared" si="1"/>
        <v>224,</v>
      </c>
      <c r="D7" t="str">
        <f t="shared" si="2"/>
        <v>11100000</v>
      </c>
      <c r="E7">
        <v>1</v>
      </c>
      <c r="F7">
        <v>1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0x70,</v>
      </c>
      <c r="AD7" t="str">
        <f t="shared" si="7"/>
        <v>112,</v>
      </c>
      <c r="AE7" t="str">
        <f t="shared" si="8"/>
        <v>01110000</v>
      </c>
      <c r="AF7">
        <v>0</v>
      </c>
      <c r="AG7">
        <v>1</v>
      </c>
      <c r="AH7">
        <v>1</v>
      </c>
      <c r="AI7">
        <v>1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0x0E,</v>
      </c>
      <c r="BE7" t="str">
        <f t="shared" si="13"/>
        <v>14,</v>
      </c>
      <c r="BF7" t="str">
        <f t="shared" si="14"/>
        <v>00001110</v>
      </c>
      <c r="BG7">
        <v>0</v>
      </c>
      <c r="BH7">
        <v>0</v>
      </c>
      <c r="BI7">
        <v>0</v>
      </c>
      <c r="BJ7">
        <v>0</v>
      </c>
      <c r="BK7">
        <v>1</v>
      </c>
      <c r="BL7">
        <v>1</v>
      </c>
      <c r="BM7">
        <v>1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0xE0,</v>
      </c>
      <c r="C8" t="str">
        <f t="shared" si="1"/>
        <v>224,</v>
      </c>
      <c r="D8" t="str">
        <f t="shared" si="2"/>
        <v>11100000</v>
      </c>
      <c r="E8">
        <v>1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0xEF,</v>
      </c>
      <c r="C9" t="str">
        <f t="shared" si="1"/>
        <v>239,</v>
      </c>
      <c r="D9" t="str">
        <f t="shared" si="2"/>
        <v>11101111</v>
      </c>
      <c r="E9">
        <v>1</v>
      </c>
      <c r="F9">
        <v>1</v>
      </c>
      <c r="G9">
        <v>1</v>
      </c>
      <c r="H9">
        <v>0</v>
      </c>
      <c r="I9">
        <v>1</v>
      </c>
      <c r="J9">
        <v>1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0xF0,</v>
      </c>
      <c r="AD9" t="str">
        <f t="shared" si="7"/>
        <v>240,</v>
      </c>
      <c r="AE9" t="str">
        <f t="shared" si="8"/>
        <v>11110000</v>
      </c>
      <c r="AF9">
        <v>1</v>
      </c>
      <c r="AG9">
        <v>1</v>
      </c>
      <c r="AH9">
        <v>1</v>
      </c>
      <c r="AI9">
        <v>1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0x1E,</v>
      </c>
      <c r="BE9" t="str">
        <f t="shared" si="13"/>
        <v>30,</v>
      </c>
      <c r="BF9" t="str">
        <f t="shared" si="14"/>
        <v>00011110</v>
      </c>
      <c r="BG9">
        <v>0</v>
      </c>
      <c r="BH9">
        <v>0</v>
      </c>
      <c r="BI9">
        <v>0</v>
      </c>
      <c r="BJ9">
        <v>1</v>
      </c>
      <c r="BK9">
        <v>1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0xFF,</v>
      </c>
      <c r="C10" t="str">
        <f t="shared" si="1"/>
        <v>255,</v>
      </c>
      <c r="D10" t="str">
        <f t="shared" si="2"/>
        <v>11111111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10000000</v>
      </c>
      <c r="V10" t="str">
        <f t="shared" si="4"/>
        <v>128,</v>
      </c>
      <c r="W10" t="str">
        <f t="shared" si="5"/>
        <v xml:space="preserve"> 0x80,</v>
      </c>
      <c r="X10" t="s">
        <v>0</v>
      </c>
      <c r="Y10" t="s">
        <v>1</v>
      </c>
      <c r="AC10" t="str">
        <f t="shared" si="6"/>
        <v xml:space="preserve"> 0xF0,</v>
      </c>
      <c r="AD10" t="str">
        <f t="shared" si="7"/>
        <v>240,</v>
      </c>
      <c r="AE10" t="str">
        <f t="shared" si="8"/>
        <v>11110000</v>
      </c>
      <c r="AF10">
        <v>1</v>
      </c>
      <c r="AG10">
        <v>1</v>
      </c>
      <c r="AH10">
        <v>1</v>
      </c>
      <c r="AI10">
        <v>1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0x1E,</v>
      </c>
      <c r="BE10" t="str">
        <f t="shared" si="13"/>
        <v>30,</v>
      </c>
      <c r="BF10" t="str">
        <f t="shared" si="14"/>
        <v>00011110</v>
      </c>
      <c r="BG10">
        <v>0</v>
      </c>
      <c r="BH10">
        <v>0</v>
      </c>
      <c r="BI10">
        <v>0</v>
      </c>
      <c r="BJ10">
        <v>1</v>
      </c>
      <c r="BK10">
        <v>1</v>
      </c>
      <c r="BL10">
        <v>1</v>
      </c>
      <c r="BM10">
        <v>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0xF3,</v>
      </c>
      <c r="C11" t="str">
        <f t="shared" si="1"/>
        <v>243,</v>
      </c>
      <c r="D11" t="str">
        <f t="shared" si="2"/>
        <v>11110011</v>
      </c>
      <c r="E11">
        <v>1</v>
      </c>
      <c r="F11">
        <v>1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11000000</v>
      </c>
      <c r="V11" t="str">
        <f t="shared" si="4"/>
        <v>192,</v>
      </c>
      <c r="W11" t="str">
        <f t="shared" si="5"/>
        <v xml:space="preserve"> 0xC0,</v>
      </c>
      <c r="X11" t="s">
        <v>0</v>
      </c>
      <c r="Y11" t="s">
        <v>1</v>
      </c>
      <c r="AC11" t="str">
        <f t="shared" si="6"/>
        <v xml:space="preserve"> 0x70,</v>
      </c>
      <c r="AD11" t="str">
        <f t="shared" si="7"/>
        <v>112,</v>
      </c>
      <c r="AE11" t="str">
        <f t="shared" si="8"/>
        <v>01110000</v>
      </c>
      <c r="AF11">
        <v>0</v>
      </c>
      <c r="AG11">
        <v>1</v>
      </c>
      <c r="AH11">
        <v>1</v>
      </c>
      <c r="AI11">
        <v>1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0x0E,</v>
      </c>
      <c r="BE11" t="str">
        <f t="shared" si="13"/>
        <v>14,</v>
      </c>
      <c r="BF11" t="str">
        <f t="shared" si="14"/>
        <v>00001110</v>
      </c>
      <c r="BG11">
        <v>0</v>
      </c>
      <c r="BH11">
        <v>0</v>
      </c>
      <c r="BI11">
        <v>0</v>
      </c>
      <c r="BJ11">
        <v>0</v>
      </c>
      <c r="BK11">
        <v>1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0xE1,</v>
      </c>
      <c r="C12" t="str">
        <f t="shared" si="1"/>
        <v>225,</v>
      </c>
      <c r="D12" t="str">
        <f t="shared" si="2"/>
        <v>11100001</v>
      </c>
      <c r="E12">
        <v>1</v>
      </c>
      <c r="F12">
        <v>1</v>
      </c>
      <c r="G12">
        <v>1</v>
      </c>
      <c r="H12">
        <v>0</v>
      </c>
      <c r="I12">
        <v>0</v>
      </c>
      <c r="J12">
        <v>0</v>
      </c>
      <c r="K12">
        <v>0</v>
      </c>
      <c r="L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0x70,</v>
      </c>
      <c r="AD12" t="str">
        <f t="shared" si="7"/>
        <v>112,</v>
      </c>
      <c r="AE12" t="str">
        <f t="shared" si="8"/>
        <v>01110000</v>
      </c>
      <c r="AF12">
        <v>0</v>
      </c>
      <c r="AG12">
        <v>1</v>
      </c>
      <c r="AH12">
        <v>1</v>
      </c>
      <c r="AI12">
        <v>1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0x0E,</v>
      </c>
      <c r="BE12" t="str">
        <f t="shared" si="13"/>
        <v>14,</v>
      </c>
      <c r="BF12" t="str">
        <f t="shared" si="14"/>
        <v>00001110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0xE1,</v>
      </c>
      <c r="C13" t="str">
        <f t="shared" si="1"/>
        <v>225,</v>
      </c>
      <c r="D13" t="str">
        <f t="shared" si="2"/>
        <v>11100001</v>
      </c>
      <c r="E13">
        <v>1</v>
      </c>
      <c r="F13">
        <v>1</v>
      </c>
      <c r="G13">
        <v>1</v>
      </c>
      <c r="H13">
        <v>0</v>
      </c>
      <c r="I13">
        <v>0</v>
      </c>
      <c r="J13">
        <v>0</v>
      </c>
      <c r="K13">
        <v>0</v>
      </c>
      <c r="L13">
        <v>1</v>
      </c>
      <c r="M13">
        <v>1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11000000</v>
      </c>
      <c r="V13" t="str">
        <f t="shared" si="4"/>
        <v>192,</v>
      </c>
      <c r="W13" t="str">
        <f t="shared" si="5"/>
        <v xml:space="preserve"> 0xC0,</v>
      </c>
      <c r="X13" t="s">
        <v>0</v>
      </c>
      <c r="Y13" t="s">
        <v>1</v>
      </c>
      <c r="AC13" t="str">
        <f t="shared" si="6"/>
        <v xml:space="preserve"> 0x70,</v>
      </c>
      <c r="AD13" t="str">
        <f t="shared" si="7"/>
        <v>112,</v>
      </c>
      <c r="AE13" t="str">
        <f t="shared" si="8"/>
        <v>01110000</v>
      </c>
      <c r="AF13">
        <v>0</v>
      </c>
      <c r="AG13">
        <v>1</v>
      </c>
      <c r="AH13">
        <v>1</v>
      </c>
      <c r="AI13">
        <v>1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0x0E,</v>
      </c>
      <c r="BE13" t="str">
        <f t="shared" si="13"/>
        <v>14,</v>
      </c>
      <c r="BF13" t="str">
        <f t="shared" si="14"/>
        <v>00001110</v>
      </c>
      <c r="BG13">
        <v>0</v>
      </c>
      <c r="BH13">
        <v>0</v>
      </c>
      <c r="BI13">
        <v>0</v>
      </c>
      <c r="BJ13">
        <v>0</v>
      </c>
      <c r="BK13">
        <v>1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0xE1,</v>
      </c>
      <c r="C14" t="str">
        <f t="shared" si="1"/>
        <v>225,</v>
      </c>
      <c r="D14" t="str">
        <f t="shared" si="2"/>
        <v>11100001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11000000</v>
      </c>
      <c r="V14" t="str">
        <f t="shared" si="4"/>
        <v>192,</v>
      </c>
      <c r="W14" t="str">
        <f t="shared" si="5"/>
        <v xml:space="preserve"> 0xC0,</v>
      </c>
      <c r="X14" t="s">
        <v>0</v>
      </c>
      <c r="Y14" t="s">
        <v>1</v>
      </c>
      <c r="AC14" t="str">
        <f t="shared" si="6"/>
        <v xml:space="preserve"> 0x70,</v>
      </c>
      <c r="AD14" t="str">
        <f t="shared" si="7"/>
        <v>112,</v>
      </c>
      <c r="AE14" t="str">
        <f t="shared" si="8"/>
        <v>01110000</v>
      </c>
      <c r="AF14">
        <v>0</v>
      </c>
      <c r="AG14">
        <v>1</v>
      </c>
      <c r="AH14">
        <v>1</v>
      </c>
      <c r="AI14">
        <v>1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0x0E,</v>
      </c>
      <c r="BE14" t="str">
        <f t="shared" si="13"/>
        <v>14,</v>
      </c>
      <c r="BF14" t="str">
        <f t="shared" si="14"/>
        <v>00001110</v>
      </c>
      <c r="BG14">
        <v>0</v>
      </c>
      <c r="BH14">
        <v>0</v>
      </c>
      <c r="BI14">
        <v>0</v>
      </c>
      <c r="BJ14">
        <v>0</v>
      </c>
      <c r="BK14">
        <v>1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0xE1,</v>
      </c>
      <c r="C15" t="str">
        <f t="shared" si="1"/>
        <v>225,</v>
      </c>
      <c r="D15" t="str">
        <f t="shared" si="2"/>
        <v>11100001</v>
      </c>
      <c r="E15">
        <v>1</v>
      </c>
      <c r="F15">
        <v>1</v>
      </c>
      <c r="G15">
        <v>1</v>
      </c>
      <c r="H15">
        <v>0</v>
      </c>
      <c r="I15">
        <v>0</v>
      </c>
      <c r="J15">
        <v>0</v>
      </c>
      <c r="K15">
        <v>0</v>
      </c>
      <c r="L15">
        <v>1</v>
      </c>
      <c r="M15">
        <v>1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11000000</v>
      </c>
      <c r="V15" t="str">
        <f t="shared" si="4"/>
        <v>192,</v>
      </c>
      <c r="W15" t="str">
        <f t="shared" si="5"/>
        <v xml:space="preserve"> 0xC0,</v>
      </c>
      <c r="X15" t="s">
        <v>0</v>
      </c>
      <c r="Y15" t="s">
        <v>1</v>
      </c>
      <c r="AC15" t="str">
        <f t="shared" si="6"/>
        <v xml:space="preserve"> 0x70,</v>
      </c>
      <c r="AD15" t="str">
        <f t="shared" si="7"/>
        <v>112,</v>
      </c>
      <c r="AE15" t="str">
        <f t="shared" si="8"/>
        <v>01110000</v>
      </c>
      <c r="AF15">
        <v>0</v>
      </c>
      <c r="AG15">
        <v>1</v>
      </c>
      <c r="AH15">
        <v>1</v>
      </c>
      <c r="AI15">
        <v>1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0x0E,</v>
      </c>
      <c r="BE15" t="str">
        <f t="shared" si="13"/>
        <v>14,</v>
      </c>
      <c r="BF15" t="str">
        <f t="shared" si="14"/>
        <v>00001110</v>
      </c>
      <c r="BG15">
        <v>0</v>
      </c>
      <c r="BH15">
        <v>0</v>
      </c>
      <c r="BI15">
        <v>0</v>
      </c>
      <c r="BJ15">
        <v>0</v>
      </c>
      <c r="BK15">
        <v>1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0xE1,</v>
      </c>
      <c r="C16" t="str">
        <f t="shared" si="1"/>
        <v>225,</v>
      </c>
      <c r="D16" t="str">
        <f t="shared" si="2"/>
        <v>11100001</v>
      </c>
      <c r="E16">
        <v>1</v>
      </c>
      <c r="F16">
        <v>1</v>
      </c>
      <c r="G16">
        <v>1</v>
      </c>
      <c r="H16">
        <v>0</v>
      </c>
      <c r="I16">
        <v>0</v>
      </c>
      <c r="J16">
        <v>0</v>
      </c>
      <c r="K16">
        <v>0</v>
      </c>
      <c r="L16">
        <v>1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11000000</v>
      </c>
      <c r="V16" t="str">
        <f t="shared" si="4"/>
        <v>192,</v>
      </c>
      <c r="W16" t="str">
        <f t="shared" si="5"/>
        <v xml:space="preserve"> 0xC0,</v>
      </c>
      <c r="X16" t="s">
        <v>0</v>
      </c>
      <c r="Y16" t="s">
        <v>1</v>
      </c>
      <c r="AC16" t="str">
        <f t="shared" si="6"/>
        <v xml:space="preserve"> 0x70,</v>
      </c>
      <c r="AD16" t="str">
        <f t="shared" si="7"/>
        <v>112,</v>
      </c>
      <c r="AE16" t="str">
        <f t="shared" si="8"/>
        <v>01110000</v>
      </c>
      <c r="AF16">
        <v>0</v>
      </c>
      <c r="AG16">
        <v>1</v>
      </c>
      <c r="AH16">
        <v>1</v>
      </c>
      <c r="AI16">
        <v>1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0x0E,</v>
      </c>
      <c r="BE16" t="str">
        <f t="shared" si="13"/>
        <v>14,</v>
      </c>
      <c r="BF16" t="str">
        <f t="shared" si="14"/>
        <v>00001110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0xE1,</v>
      </c>
      <c r="C17" t="str">
        <f t="shared" si="1"/>
        <v>225,</v>
      </c>
      <c r="D17" t="str">
        <f t="shared" si="2"/>
        <v>11100001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0</v>
      </c>
      <c r="L17">
        <v>1</v>
      </c>
      <c r="M17">
        <v>1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11000000</v>
      </c>
      <c r="V17" t="str">
        <f t="shared" si="4"/>
        <v>192,</v>
      </c>
      <c r="W17" t="str">
        <f t="shared" si="5"/>
        <v xml:space="preserve"> 0xC0,</v>
      </c>
      <c r="X17" t="s">
        <v>0</v>
      </c>
      <c r="Y17" t="s">
        <v>1</v>
      </c>
      <c r="AC17" t="str">
        <f t="shared" si="6"/>
        <v xml:space="preserve"> 0x70,</v>
      </c>
      <c r="AD17" t="str">
        <f t="shared" si="7"/>
        <v>112,</v>
      </c>
      <c r="AE17" t="str">
        <f t="shared" si="8"/>
        <v>01110000</v>
      </c>
      <c r="AF17">
        <v>0</v>
      </c>
      <c r="AG17">
        <v>1</v>
      </c>
      <c r="AH17">
        <v>1</v>
      </c>
      <c r="AI17">
        <v>1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0xEE,</v>
      </c>
      <c r="BE17" t="str">
        <f t="shared" si="13"/>
        <v>238,</v>
      </c>
      <c r="BF17" t="str">
        <f t="shared" si="14"/>
        <v>11101110</v>
      </c>
      <c r="BG17">
        <v>1</v>
      </c>
      <c r="BH17">
        <v>1</v>
      </c>
      <c r="BI17">
        <v>1</v>
      </c>
      <c r="BJ17">
        <v>0</v>
      </c>
      <c r="BK17">
        <v>1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0xE1,</v>
      </c>
      <c r="C18" t="str">
        <f t="shared" si="1"/>
        <v>225,</v>
      </c>
      <c r="D18" t="str">
        <f t="shared" si="2"/>
        <v>11100001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11000000</v>
      </c>
      <c r="V18" t="str">
        <f t="shared" si="4"/>
        <v>192,</v>
      </c>
      <c r="W18" t="str">
        <f t="shared" si="5"/>
        <v xml:space="preserve"> 0xC0,</v>
      </c>
      <c r="X18" t="s">
        <v>0</v>
      </c>
      <c r="Y18" t="s">
        <v>1</v>
      </c>
      <c r="AC18" t="str">
        <f t="shared" si="6"/>
        <v xml:space="preserve"> 0x70,</v>
      </c>
      <c r="AD18" t="str">
        <f t="shared" si="7"/>
        <v>112,</v>
      </c>
      <c r="AE18" t="str">
        <f t="shared" si="8"/>
        <v>01110000</v>
      </c>
      <c r="AF18">
        <v>0</v>
      </c>
      <c r="AG18">
        <v>1</v>
      </c>
      <c r="AH18">
        <v>1</v>
      </c>
      <c r="AI18">
        <v>1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0xFE,</v>
      </c>
      <c r="BE18" t="str">
        <f t="shared" si="13"/>
        <v>254,</v>
      </c>
      <c r="BF18" t="str">
        <f t="shared" si="14"/>
        <v>11111110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0xE1,</v>
      </c>
      <c r="C19" t="str">
        <f t="shared" si="1"/>
        <v>225,</v>
      </c>
      <c r="D19" t="str">
        <f t="shared" si="2"/>
        <v>11100001</v>
      </c>
      <c r="E19">
        <v>1</v>
      </c>
      <c r="F19">
        <v>1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1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11000000</v>
      </c>
      <c r="V19" t="str">
        <f t="shared" si="4"/>
        <v>192,</v>
      </c>
      <c r="W19" t="str">
        <f t="shared" si="5"/>
        <v xml:space="preserve"> 0xC0,</v>
      </c>
      <c r="X19" t="s">
        <v>0</v>
      </c>
      <c r="Y19" t="s">
        <v>1</v>
      </c>
      <c r="AC19" t="str">
        <f t="shared" si="6"/>
        <v xml:space="preserve"> 0xF8,</v>
      </c>
      <c r="AD19" t="str">
        <f t="shared" si="7"/>
        <v>248,</v>
      </c>
      <c r="AE19" t="str">
        <f t="shared" si="8"/>
        <v>11111000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0x7C,</v>
      </c>
      <c r="BE19" t="str">
        <f t="shared" si="13"/>
        <v>124,</v>
      </c>
      <c r="BF19" t="str">
        <f t="shared" si="14"/>
        <v>01111100</v>
      </c>
      <c r="BG19">
        <v>0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0xE1,</v>
      </c>
      <c r="C20" t="str">
        <f t="shared" si="1"/>
        <v>225,</v>
      </c>
      <c r="D20" t="str">
        <f t="shared" si="2"/>
        <v>11100001</v>
      </c>
      <c r="E20">
        <v>1</v>
      </c>
      <c r="F20">
        <v>1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11000000</v>
      </c>
      <c r="V20" t="str">
        <f t="shared" si="4"/>
        <v>192,</v>
      </c>
      <c r="W20" t="str">
        <f t="shared" si="5"/>
        <v xml:space="preserve"> 0xC0,</v>
      </c>
      <c r="X20" t="s">
        <v>0</v>
      </c>
      <c r="Y20" t="s">
        <v>1</v>
      </c>
      <c r="AC20" t="str">
        <f t="shared" si="6"/>
        <v xml:space="preserve"> 0xF8,</v>
      </c>
      <c r="AD20" t="str">
        <f t="shared" si="7"/>
        <v>248,</v>
      </c>
      <c r="AE20" t="str">
        <f t="shared" si="8"/>
        <v>11111000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0x38,</v>
      </c>
      <c r="BE20" t="str">
        <f t="shared" si="13"/>
        <v>56,</v>
      </c>
      <c r="BF20" t="str">
        <f t="shared" si="14"/>
        <v>00111000</v>
      </c>
      <c r="BG20">
        <v>0</v>
      </c>
      <c r="BH20">
        <v>0</v>
      </c>
      <c r="BI20">
        <v>1</v>
      </c>
      <c r="BJ20">
        <v>1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10,</v>
      </c>
      <c r="V22" t="str">
        <f>Y20&amp;DEC2HEX(U22,2)&amp;X20</f>
        <v xml:space="preserve"> 0x0A,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0</v>
      </c>
      <c r="AL22">
        <f t="shared" si="19"/>
        <v>0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5,</v>
      </c>
      <c r="AW22" t="str">
        <f>AZ20&amp;DEC2HEX(AV22,2)&amp;AY20</f>
        <v xml:space="preserve"> 0x05,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10,224,0,224,0,224,0,224,0,239,0,255,128,243,192,225,192,225,192,225,192,225,192,225,192,225,192,225,192,225,192,225,192,//h//104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5,112,0,112,0,112,0,0,0,240,0,240,0,112,0,112,0,112,0,112,0,112,0,112,0,112,0,112,0,248,0,248,0,//i//105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7,14,0,14,0,14,0,0,0,30,0,30,0,14,0,14,0,14,0,14,0,14,0,14,0,238,0,254,0,124,0,56,0,//j//106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0x0A, 0xE0, 0x00, 0xE0, 0x00, 0xE0, 0x00, 0xE0, 0x00, 0xEF, 0x00, 0xFF, 0x80, 0xF3, 0xC0, 0xE1, 0xC0, 0xE1, 0xC0, 0xE1, 0xC0, 0xE1, 0xC0, 0xE1, 0xC0, 0xE1, 0xC0, 0xE1, 0xC0, 0xE1, 0xC0, 0xE1, 0xC0,//h//104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0x05, 0x70, 0x00, 0x70, 0x00, 0x70, 0x00, 0x00, 0x00, 0xF0, 0x00, 0xF0, 0x00, 0x70, 0x00, 0x70, 0x00, 0x70, 0x00, 0x70, 0x00, 0x70, 0x00, 0x70, 0x00, 0x70, 0x00, 0x70, 0x00, 0xF8, 0x00, 0xF8, 0x00,//i//105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0x0E, 0x00, 0x0E, 0x00, 0x0E, 0x00, 0x00, 0x00, 0x1E, 0x00, 0x1E, 0x00, 0x0E, 0x00, 0x0E, 0x00, 0x0E, 0x00, 0x0E, 0x00, 0x0E, 0x00, 0x0E, 0x00, 0xEE, 0x00, 0xFE, 0x00, 0x7C, 0x00, 0x38, 0x00,//j//106</v>
      </c>
    </row>
    <row r="28" spans="1:79">
      <c r="A28" s="1" t="str">
        <f>$B$24</f>
        <v>10,224,0,224,0,224,0,224,0,239,0,255,128,243,192,225,192,225,192,225,192,225,192,225,192,225,192,225,192,225,192,225,192,//h//104</v>
      </c>
      <c r="E28" t="s">
        <v>4</v>
      </c>
      <c r="AB28" s="1" t="str">
        <f>$AC$24</f>
        <v>5,112,0,112,0,112,0,0,0,240,0,240,0,112,0,112,0,112,0,112,0,112,0,112,0,112,0,112,0,248,0,248,0,//i//105</v>
      </c>
      <c r="AF28" t="s">
        <v>4</v>
      </c>
      <c r="BC28" s="1" t="str">
        <f>$BD$24</f>
        <v>7,14,0,14,0,14,0,0,0,30,0,30,0,14,0,14,0,14,0,14,0,14,0,14,0,238,0,254,0,124,0,56,0,//j//106</v>
      </c>
      <c r="BG28" t="s">
        <v>4</v>
      </c>
    </row>
    <row r="29" spans="1:79">
      <c r="A29" s="2" t="str">
        <f>$B$25</f>
        <v xml:space="preserve"> 0x0A, 0xE0, 0x00, 0xE0, 0x00, 0xE0, 0x00, 0xE0, 0x00, 0xEF, 0x00, 0xFF, 0x80, 0xF3, 0xC0, 0xE1, 0xC0, 0xE1, 0xC0, 0xE1, 0xC0, 0xE1, 0xC0, 0xE1, 0xC0, 0xE1, 0xC0, 0xE1, 0xC0, 0xE1, 0xC0, 0xE1, 0xC0,//h//104</v>
      </c>
      <c r="E29" t="s">
        <v>3</v>
      </c>
      <c r="AB29" s="2" t="str">
        <f>$AC$25</f>
        <v xml:space="preserve"> 0x05, 0x70, 0x00, 0x70, 0x00, 0x70, 0x00, 0x00, 0x00, 0xF0, 0x00, 0xF0, 0x00, 0x70, 0x00, 0x70, 0x00, 0x70, 0x00, 0x70, 0x00, 0x70, 0x00, 0x70, 0x00, 0x70, 0x00, 0x70, 0x00, 0xF8, 0x00, 0xF8, 0x00,//i//105</v>
      </c>
      <c r="AF29" t="s">
        <v>3</v>
      </c>
      <c r="BC29" s="2" t="str">
        <f>$BD$25</f>
        <v xml:space="preserve"> 0x07, 0x0E, 0x00, 0x0E, 0x00, 0x0E, 0x00, 0x00, 0x00, 0x1E, 0x00, 0x1E, 0x00, 0x0E, 0x00, 0x0E, 0x00, 0x0E, 0x00, 0x0E, 0x00, 0x0E, 0x00, 0x0E, 0x00, 0xEE, 0x00, 0xFE, 0x00, 0x7C, 0x00, 0x38, 0x00,//j//106</v>
      </c>
      <c r="BG29" t="s">
        <v>3</v>
      </c>
    </row>
  </sheetData>
  <conditionalFormatting sqref="E5:T20">
    <cfRule type="colorScale" priority="20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9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18:N19 H8:L12 E5:N5 H13:K15 M8:N17 G8:G17 L13:L17">
    <cfRule type="colorScale" priority="17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7 N18 M18:M19">
    <cfRule type="colorScale" priority="16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5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4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29" priority="13" operator="greaterThan">
      <formula>1</formula>
    </cfRule>
  </conditionalFormatting>
  <conditionalFormatting sqref="AH6:AO7 AH18:AO19 AF5:AO5 AF6:AG20 AH8:AM17 AH20:AI20 AK20:AM20">
    <cfRule type="colorScale" priority="12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19">
    <cfRule type="colorScale" priority="11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10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9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28" priority="8" operator="greaterThan">
      <formula>1</formula>
    </cfRule>
  </conditionalFormatting>
  <conditionalFormatting sqref="BI6:BP7 BI18:BP19 BJ8:BN12 BG5:BP5 BJ13:BM15 BI8:BI17 BI20 BG6:BH20 BJ16:BK17 BN13:BN17 BO8:BP17 BN20:BP20 BL16:BM16">
    <cfRule type="colorScale" priority="7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6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5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4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27" priority="3" operator="greaterThan">
      <formula>1</formula>
    </cfRule>
  </conditionalFormatting>
  <conditionalFormatting sqref="E5:T20">
    <cfRule type="cellIs" dxfId="26" priority="1" operator="equal">
      <formula>0</formula>
    </cfRule>
    <cfRule type="cellIs" dxfId="25" priority="2" operator="equal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2"/>
  <dimension ref="A4:CB29"/>
  <sheetViews>
    <sheetView workbookViewId="0">
      <selection activeCell="L29" sqref="L29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107</v>
      </c>
      <c r="Z4" t="s">
        <v>5</v>
      </c>
      <c r="AB4" s="3">
        <v>108</v>
      </c>
      <c r="BA4" t="s">
        <v>5</v>
      </c>
      <c r="BC4" s="3">
        <v>109</v>
      </c>
      <c r="CB4" t="s">
        <v>5</v>
      </c>
    </row>
    <row r="5" spans="1:80">
      <c r="A5" s="3" t="s">
        <v>275</v>
      </c>
      <c r="B5" t="str">
        <f>Z5&amp;Y5&amp;BIN2HEX(D5,2)&amp;X5</f>
        <v xml:space="preserve"> 0xE0,</v>
      </c>
      <c r="C5" t="str">
        <f>Z5&amp;BIN2DEC(D5)&amp;X5</f>
        <v>224,</v>
      </c>
      <c r="D5" t="str">
        <f>E5&amp;F5&amp;G5&amp;H5&amp;I5&amp;J5&amp;K5&amp;L5</f>
        <v>11100000</v>
      </c>
      <c r="E5">
        <v>1</v>
      </c>
      <c r="F5">
        <v>1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276</v>
      </c>
      <c r="AC5" t="str">
        <f>BA5&amp;AZ5&amp;BIN2HEX(AE5,2)&amp;AY5</f>
        <v xml:space="preserve"> 0xE0,</v>
      </c>
      <c r="AD5" t="str">
        <f>BA5&amp;BIN2DEC(AE5)&amp;AY5</f>
        <v>224,</v>
      </c>
      <c r="AE5" t="str">
        <f>AF5&amp;AG5&amp;AH5&amp;AI5&amp;AJ5&amp;AK5&amp;AL5&amp;AM5</f>
        <v>11100000</v>
      </c>
      <c r="AF5">
        <v>1</v>
      </c>
      <c r="AG5">
        <v>1</v>
      </c>
      <c r="AH5">
        <v>1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277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0xE0,</v>
      </c>
      <c r="C6" t="str">
        <f t="shared" ref="C6:C20" si="1">Z6&amp;BIN2DEC(D6)&amp;X6</f>
        <v>224,</v>
      </c>
      <c r="D6" t="str">
        <f t="shared" ref="D6:D20" si="2">E6&amp;F6&amp;G6&amp;H6&amp;I6&amp;J6&amp;K6&amp;L6</f>
        <v>11100000</v>
      </c>
      <c r="E6">
        <v>1</v>
      </c>
      <c r="F6">
        <v>1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0xE0,</v>
      </c>
      <c r="AD6" t="str">
        <f t="shared" ref="AD6:AD20" si="7">BA6&amp;BIN2DEC(AE6)&amp;AY6</f>
        <v>224,</v>
      </c>
      <c r="AE6" t="str">
        <f t="shared" ref="AE6:AE20" si="8">AF6&amp;AG6&amp;AH6&amp;AI6&amp;AJ6&amp;AK6&amp;AL6&amp;AM6</f>
        <v>11100000</v>
      </c>
      <c r="AF6">
        <v>1</v>
      </c>
      <c r="AG6">
        <v>1</v>
      </c>
      <c r="AH6">
        <v>1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0xE0,</v>
      </c>
      <c r="C7" t="str">
        <f t="shared" si="1"/>
        <v>224,</v>
      </c>
      <c r="D7" t="str">
        <f t="shared" si="2"/>
        <v>11100000</v>
      </c>
      <c r="E7">
        <v>1</v>
      </c>
      <c r="F7">
        <v>1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0xE0,</v>
      </c>
      <c r="AD7" t="str">
        <f t="shared" si="7"/>
        <v>224,</v>
      </c>
      <c r="AE7" t="str">
        <f t="shared" si="8"/>
        <v>11100000</v>
      </c>
      <c r="AF7">
        <v>1</v>
      </c>
      <c r="AG7">
        <v>1</v>
      </c>
      <c r="AH7">
        <v>1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0xE0,</v>
      </c>
      <c r="C8" t="str">
        <f t="shared" si="1"/>
        <v>224,</v>
      </c>
      <c r="D8" t="str">
        <f t="shared" si="2"/>
        <v>11100000</v>
      </c>
      <c r="E8">
        <v>1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0xE0,</v>
      </c>
      <c r="AD8" t="str">
        <f t="shared" si="7"/>
        <v>224,</v>
      </c>
      <c r="AE8" t="str">
        <f t="shared" si="8"/>
        <v>11100000</v>
      </c>
      <c r="AF8">
        <v>1</v>
      </c>
      <c r="AG8">
        <v>1</v>
      </c>
      <c r="AH8">
        <v>1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0xE1,</v>
      </c>
      <c r="C9" t="str">
        <f t="shared" si="1"/>
        <v>225,</v>
      </c>
      <c r="D9" t="str">
        <f t="shared" si="2"/>
        <v>11100001</v>
      </c>
      <c r="E9">
        <v>1</v>
      </c>
      <c r="F9">
        <v>1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1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11000000</v>
      </c>
      <c r="V9" t="str">
        <f t="shared" si="4"/>
        <v>192,</v>
      </c>
      <c r="W9" t="str">
        <f t="shared" si="5"/>
        <v xml:space="preserve"> 0xC0,</v>
      </c>
      <c r="X9" t="s">
        <v>0</v>
      </c>
      <c r="Y9" t="s">
        <v>1</v>
      </c>
      <c r="AC9" t="str">
        <f t="shared" si="6"/>
        <v xml:space="preserve"> 0xE0,</v>
      </c>
      <c r="AD9" t="str">
        <f t="shared" si="7"/>
        <v>224,</v>
      </c>
      <c r="AE9" t="str">
        <f t="shared" si="8"/>
        <v>11100000</v>
      </c>
      <c r="AF9">
        <v>1</v>
      </c>
      <c r="AG9">
        <v>1</v>
      </c>
      <c r="AH9">
        <v>1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0xFF,</v>
      </c>
      <c r="BE9" t="str">
        <f t="shared" si="13"/>
        <v>255,</v>
      </c>
      <c r="BF9" t="str">
        <f t="shared" si="14"/>
        <v>11111111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10000000</v>
      </c>
      <c r="BX9" t="str">
        <f t="shared" si="16"/>
        <v>128,</v>
      </c>
      <c r="BY9" t="str">
        <f t="shared" si="17"/>
        <v xml:space="preserve"> 0x80,</v>
      </c>
      <c r="BZ9" t="s">
        <v>0</v>
      </c>
      <c r="CA9" t="s">
        <v>1</v>
      </c>
    </row>
    <row r="10" spans="1:80">
      <c r="B10" t="str">
        <f t="shared" si="0"/>
        <v xml:space="preserve"> 0xE3,</v>
      </c>
      <c r="C10" t="str">
        <f t="shared" si="1"/>
        <v>227,</v>
      </c>
      <c r="D10" t="str">
        <f t="shared" si="2"/>
        <v>11100011</v>
      </c>
      <c r="E10">
        <v>1</v>
      </c>
      <c r="F10">
        <v>1</v>
      </c>
      <c r="G10">
        <v>1</v>
      </c>
      <c r="H10">
        <v>0</v>
      </c>
      <c r="I10">
        <v>0</v>
      </c>
      <c r="J10">
        <v>0</v>
      </c>
      <c r="K10">
        <v>1</v>
      </c>
      <c r="L10">
        <v>1</v>
      </c>
      <c r="M10">
        <v>1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11000000</v>
      </c>
      <c r="V10" t="str">
        <f t="shared" si="4"/>
        <v>192,</v>
      </c>
      <c r="W10" t="str">
        <f t="shared" si="5"/>
        <v xml:space="preserve"> 0xC0,</v>
      </c>
      <c r="X10" t="s">
        <v>0</v>
      </c>
      <c r="Y10" t="s">
        <v>1</v>
      </c>
      <c r="AC10" t="str">
        <f t="shared" si="6"/>
        <v xml:space="preserve"> 0xE0,</v>
      </c>
      <c r="AD10" t="str">
        <f t="shared" si="7"/>
        <v>224,</v>
      </c>
      <c r="AE10" t="str">
        <f t="shared" si="8"/>
        <v>11100000</v>
      </c>
      <c r="AF10">
        <v>1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0xFF,</v>
      </c>
      <c r="BE10" t="str">
        <f t="shared" si="13"/>
        <v>255,</v>
      </c>
      <c r="BF10" t="str">
        <f t="shared" si="14"/>
        <v>11111111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11000000</v>
      </c>
      <c r="BX10" t="str">
        <f t="shared" si="16"/>
        <v>192,</v>
      </c>
      <c r="BY10" t="str">
        <f t="shared" si="17"/>
        <v xml:space="preserve"> 0xC0,</v>
      </c>
      <c r="BZ10" t="s">
        <v>0</v>
      </c>
      <c r="CA10" t="s">
        <v>1</v>
      </c>
    </row>
    <row r="11" spans="1:80">
      <c r="B11" t="str">
        <f t="shared" si="0"/>
        <v xml:space="preserve"> 0xE7,</v>
      </c>
      <c r="C11" t="str">
        <f t="shared" si="1"/>
        <v>231,</v>
      </c>
      <c r="D11" t="str">
        <f t="shared" si="2"/>
        <v>11100111</v>
      </c>
      <c r="E11">
        <v>1</v>
      </c>
      <c r="F11">
        <v>1</v>
      </c>
      <c r="G11">
        <v>1</v>
      </c>
      <c r="H11">
        <v>0</v>
      </c>
      <c r="I11">
        <v>0</v>
      </c>
      <c r="J11">
        <v>1</v>
      </c>
      <c r="K11">
        <v>1</v>
      </c>
      <c r="L11">
        <v>1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10000000</v>
      </c>
      <c r="V11" t="str">
        <f t="shared" si="4"/>
        <v>128,</v>
      </c>
      <c r="W11" t="str">
        <f t="shared" si="5"/>
        <v xml:space="preserve"> 0x80,</v>
      </c>
      <c r="X11" t="s">
        <v>0</v>
      </c>
      <c r="Y11" t="s">
        <v>1</v>
      </c>
      <c r="AC11" t="str">
        <f t="shared" si="6"/>
        <v xml:space="preserve"> 0xE0,</v>
      </c>
      <c r="AD11" t="str">
        <f t="shared" si="7"/>
        <v>224,</v>
      </c>
      <c r="AE11" t="str">
        <f t="shared" si="8"/>
        <v>11100000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0xFF,</v>
      </c>
      <c r="BE11" t="str">
        <f t="shared" si="13"/>
        <v>255,</v>
      </c>
      <c r="BF11" t="str">
        <f t="shared" si="14"/>
        <v>11111111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1</v>
      </c>
      <c r="BQ11">
        <v>1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11100000</v>
      </c>
      <c r="BX11" t="str">
        <f t="shared" si="16"/>
        <v>224,</v>
      </c>
      <c r="BY11" t="str">
        <f t="shared" si="17"/>
        <v xml:space="preserve"> 0xE0,</v>
      </c>
      <c r="BZ11" t="s">
        <v>0</v>
      </c>
      <c r="CA11" t="s">
        <v>1</v>
      </c>
    </row>
    <row r="12" spans="1:80">
      <c r="B12" t="str">
        <f t="shared" si="0"/>
        <v xml:space="preserve"> 0xEF,</v>
      </c>
      <c r="C12" t="str">
        <f t="shared" si="1"/>
        <v>239,</v>
      </c>
      <c r="D12" t="str">
        <f t="shared" si="2"/>
        <v>11101111</v>
      </c>
      <c r="E12">
        <v>1</v>
      </c>
      <c r="F12">
        <v>1</v>
      </c>
      <c r="G12">
        <v>1</v>
      </c>
      <c r="H12">
        <v>0</v>
      </c>
      <c r="I12">
        <v>1</v>
      </c>
      <c r="J12">
        <v>1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0xE0,</v>
      </c>
      <c r="AD12" t="str">
        <f t="shared" si="7"/>
        <v>224,</v>
      </c>
      <c r="AE12" t="str">
        <f t="shared" si="8"/>
        <v>11100000</v>
      </c>
      <c r="AF12">
        <v>1</v>
      </c>
      <c r="AG12">
        <v>1</v>
      </c>
      <c r="AH12">
        <v>1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0xEE,</v>
      </c>
      <c r="BE12" t="str">
        <f t="shared" si="13"/>
        <v>238,</v>
      </c>
      <c r="BF12" t="str">
        <f t="shared" si="14"/>
        <v>11101110</v>
      </c>
      <c r="BG12">
        <v>1</v>
      </c>
      <c r="BH12">
        <v>1</v>
      </c>
      <c r="BI12">
        <v>1</v>
      </c>
      <c r="BJ12">
        <v>0</v>
      </c>
      <c r="BK12">
        <v>1</v>
      </c>
      <c r="BL12">
        <v>1</v>
      </c>
      <c r="BM12">
        <v>1</v>
      </c>
      <c r="BN12">
        <v>0</v>
      </c>
      <c r="BO12">
        <v>1</v>
      </c>
      <c r="BP12">
        <v>1</v>
      </c>
      <c r="BQ12">
        <v>1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11100000</v>
      </c>
      <c r="BX12" t="str">
        <f t="shared" si="16"/>
        <v>224,</v>
      </c>
      <c r="BY12" t="str">
        <f t="shared" si="17"/>
        <v xml:space="preserve"> 0xE0,</v>
      </c>
      <c r="BZ12" t="s">
        <v>0</v>
      </c>
      <c r="CA12" t="s">
        <v>1</v>
      </c>
    </row>
    <row r="13" spans="1:80">
      <c r="B13" t="str">
        <f t="shared" si="0"/>
        <v xml:space="preserve"> 0xFE,</v>
      </c>
      <c r="C13" t="str">
        <f t="shared" si="1"/>
        <v>254,</v>
      </c>
      <c r="D13" t="str">
        <f t="shared" si="2"/>
        <v>11111110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0xE0,</v>
      </c>
      <c r="AD13" t="str">
        <f t="shared" si="7"/>
        <v>224,</v>
      </c>
      <c r="AE13" t="str">
        <f t="shared" si="8"/>
        <v>11100000</v>
      </c>
      <c r="AF13">
        <v>1</v>
      </c>
      <c r="AG13">
        <v>1</v>
      </c>
      <c r="AH13">
        <v>1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0xEE,</v>
      </c>
      <c r="BE13" t="str">
        <f t="shared" si="13"/>
        <v>238,</v>
      </c>
      <c r="BF13" t="str">
        <f t="shared" si="14"/>
        <v>11101110</v>
      </c>
      <c r="BG13">
        <v>1</v>
      </c>
      <c r="BH13">
        <v>1</v>
      </c>
      <c r="BI13">
        <v>1</v>
      </c>
      <c r="BJ13">
        <v>0</v>
      </c>
      <c r="BK13">
        <v>1</v>
      </c>
      <c r="BL13">
        <v>1</v>
      </c>
      <c r="BM13">
        <v>1</v>
      </c>
      <c r="BN13">
        <v>0</v>
      </c>
      <c r="BO13">
        <v>1</v>
      </c>
      <c r="BP13">
        <v>1</v>
      </c>
      <c r="BQ13">
        <v>1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11100000</v>
      </c>
      <c r="BX13" t="str">
        <f t="shared" si="16"/>
        <v>224,</v>
      </c>
      <c r="BY13" t="str">
        <f t="shared" si="17"/>
        <v xml:space="preserve"> 0xE0,</v>
      </c>
      <c r="BZ13" t="s">
        <v>0</v>
      </c>
      <c r="CA13" t="s">
        <v>1</v>
      </c>
    </row>
    <row r="14" spans="1:80">
      <c r="B14" t="str">
        <f t="shared" si="0"/>
        <v xml:space="preserve"> 0xFC,</v>
      </c>
      <c r="C14" t="str">
        <f t="shared" si="1"/>
        <v>252,</v>
      </c>
      <c r="D14" t="str">
        <f t="shared" si="2"/>
        <v>11111100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0xE0,</v>
      </c>
      <c r="AD14" t="str">
        <f t="shared" si="7"/>
        <v>224,</v>
      </c>
      <c r="AE14" t="str">
        <f t="shared" si="8"/>
        <v>11100000</v>
      </c>
      <c r="AF14">
        <v>1</v>
      </c>
      <c r="AG14">
        <v>1</v>
      </c>
      <c r="AH14">
        <v>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0xEE,</v>
      </c>
      <c r="BE14" t="str">
        <f t="shared" si="13"/>
        <v>238,</v>
      </c>
      <c r="BF14" t="str">
        <f t="shared" si="14"/>
        <v>11101110</v>
      </c>
      <c r="BG14">
        <v>1</v>
      </c>
      <c r="BH14">
        <v>1</v>
      </c>
      <c r="BI14">
        <v>1</v>
      </c>
      <c r="BJ14">
        <v>0</v>
      </c>
      <c r="BK14">
        <v>1</v>
      </c>
      <c r="BL14">
        <v>1</v>
      </c>
      <c r="BM14">
        <v>1</v>
      </c>
      <c r="BN14">
        <v>0</v>
      </c>
      <c r="BO14">
        <v>1</v>
      </c>
      <c r="BP14">
        <v>1</v>
      </c>
      <c r="BQ14">
        <v>1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11100000</v>
      </c>
      <c r="BX14" t="str">
        <f t="shared" si="16"/>
        <v>224,</v>
      </c>
      <c r="BY14" t="str">
        <f t="shared" si="17"/>
        <v xml:space="preserve"> 0xE0,</v>
      </c>
      <c r="BZ14" t="s">
        <v>0</v>
      </c>
      <c r="CA14" t="s">
        <v>1</v>
      </c>
    </row>
    <row r="15" spans="1:80">
      <c r="B15" t="str">
        <f t="shared" si="0"/>
        <v xml:space="preserve"> 0xFC,</v>
      </c>
      <c r="C15" t="str">
        <f t="shared" si="1"/>
        <v>252,</v>
      </c>
      <c r="D15" t="str">
        <f t="shared" si="2"/>
        <v>11111100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0xE0,</v>
      </c>
      <c r="AD15" t="str">
        <f t="shared" si="7"/>
        <v>224,</v>
      </c>
      <c r="AE15" t="str">
        <f t="shared" si="8"/>
        <v>11100000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0xEE,</v>
      </c>
      <c r="BE15" t="str">
        <f t="shared" si="13"/>
        <v>238,</v>
      </c>
      <c r="BF15" t="str">
        <f t="shared" si="14"/>
        <v>11101110</v>
      </c>
      <c r="BG15">
        <v>1</v>
      </c>
      <c r="BH15">
        <v>1</v>
      </c>
      <c r="BI15">
        <v>1</v>
      </c>
      <c r="BJ15">
        <v>0</v>
      </c>
      <c r="BK15">
        <v>1</v>
      </c>
      <c r="BL15">
        <v>1</v>
      </c>
      <c r="BM15">
        <v>1</v>
      </c>
      <c r="BN15">
        <v>0</v>
      </c>
      <c r="BO15">
        <v>1</v>
      </c>
      <c r="BP15">
        <v>1</v>
      </c>
      <c r="BQ15">
        <v>1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11100000</v>
      </c>
      <c r="BX15" t="str">
        <f t="shared" si="16"/>
        <v>224,</v>
      </c>
      <c r="BY15" t="str">
        <f t="shared" si="17"/>
        <v xml:space="preserve"> 0xE0,</v>
      </c>
      <c r="BZ15" t="s">
        <v>0</v>
      </c>
      <c r="CA15" t="s">
        <v>1</v>
      </c>
    </row>
    <row r="16" spans="1:80">
      <c r="B16" t="str">
        <f t="shared" si="0"/>
        <v xml:space="preserve"> 0xFE,</v>
      </c>
      <c r="C16" t="str">
        <f t="shared" si="1"/>
        <v>254,</v>
      </c>
      <c r="D16" t="str">
        <f t="shared" si="2"/>
        <v>11111110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0xE0,</v>
      </c>
      <c r="AD16" t="str">
        <f t="shared" si="7"/>
        <v>224,</v>
      </c>
      <c r="AE16" t="str">
        <f t="shared" si="8"/>
        <v>11100000</v>
      </c>
      <c r="AF16">
        <v>1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0xEE,</v>
      </c>
      <c r="BE16" t="str">
        <f t="shared" si="13"/>
        <v>238,</v>
      </c>
      <c r="BF16" t="str">
        <f t="shared" si="14"/>
        <v>11101110</v>
      </c>
      <c r="BG16">
        <v>1</v>
      </c>
      <c r="BH16">
        <v>1</v>
      </c>
      <c r="BI16">
        <v>1</v>
      </c>
      <c r="BJ16">
        <v>0</v>
      </c>
      <c r="BK16">
        <v>1</v>
      </c>
      <c r="BL16">
        <v>1</v>
      </c>
      <c r="BM16">
        <v>1</v>
      </c>
      <c r="BN16">
        <v>0</v>
      </c>
      <c r="BO16">
        <v>1</v>
      </c>
      <c r="BP16">
        <v>1</v>
      </c>
      <c r="BQ16">
        <v>1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11100000</v>
      </c>
      <c r="BX16" t="str">
        <f t="shared" si="16"/>
        <v>224,</v>
      </c>
      <c r="BY16" t="str">
        <f t="shared" si="17"/>
        <v xml:space="preserve"> 0xE0,</v>
      </c>
      <c r="BZ16" t="s">
        <v>0</v>
      </c>
      <c r="CA16" t="s">
        <v>1</v>
      </c>
    </row>
    <row r="17" spans="1:79">
      <c r="B17" t="str">
        <f t="shared" si="0"/>
        <v xml:space="preserve"> 0xEF,</v>
      </c>
      <c r="C17" t="str">
        <f t="shared" si="1"/>
        <v>239,</v>
      </c>
      <c r="D17" t="str">
        <f t="shared" si="2"/>
        <v>11101111</v>
      </c>
      <c r="E17">
        <v>1</v>
      </c>
      <c r="F17">
        <v>1</v>
      </c>
      <c r="G17">
        <v>1</v>
      </c>
      <c r="H17">
        <v>0</v>
      </c>
      <c r="I17">
        <v>1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0xE0,</v>
      </c>
      <c r="AD17" t="str">
        <f t="shared" si="7"/>
        <v>224,</v>
      </c>
      <c r="AE17" t="str">
        <f t="shared" si="8"/>
        <v>11100000</v>
      </c>
      <c r="AF17">
        <v>1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0xEE,</v>
      </c>
      <c r="BE17" t="str">
        <f t="shared" si="13"/>
        <v>238,</v>
      </c>
      <c r="BF17" t="str">
        <f t="shared" si="14"/>
        <v>11101110</v>
      </c>
      <c r="BG17">
        <v>1</v>
      </c>
      <c r="BH17">
        <v>1</v>
      </c>
      <c r="BI17">
        <v>1</v>
      </c>
      <c r="BJ17">
        <v>0</v>
      </c>
      <c r="BK17">
        <v>1</v>
      </c>
      <c r="BL17">
        <v>1</v>
      </c>
      <c r="BM17">
        <v>1</v>
      </c>
      <c r="BN17">
        <v>0</v>
      </c>
      <c r="BO17">
        <v>1</v>
      </c>
      <c r="BP17">
        <v>1</v>
      </c>
      <c r="BQ17">
        <v>1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11100000</v>
      </c>
      <c r="BX17" t="str">
        <f t="shared" si="16"/>
        <v>224,</v>
      </c>
      <c r="BY17" t="str">
        <f t="shared" si="17"/>
        <v xml:space="preserve"> 0xE0,</v>
      </c>
      <c r="BZ17" t="s">
        <v>0</v>
      </c>
      <c r="CA17" t="s">
        <v>1</v>
      </c>
    </row>
    <row r="18" spans="1:79">
      <c r="B18" t="str">
        <f t="shared" si="0"/>
        <v xml:space="preserve"> 0xE7,</v>
      </c>
      <c r="C18" t="str">
        <f t="shared" si="1"/>
        <v>231,</v>
      </c>
      <c r="D18" t="str">
        <f t="shared" si="2"/>
        <v>11100111</v>
      </c>
      <c r="E18">
        <v>1</v>
      </c>
      <c r="F18">
        <v>1</v>
      </c>
      <c r="G18">
        <v>1</v>
      </c>
      <c r="H18">
        <v>0</v>
      </c>
      <c r="I18">
        <v>0</v>
      </c>
      <c r="J18">
        <v>1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10000000</v>
      </c>
      <c r="V18" t="str">
        <f t="shared" si="4"/>
        <v>128,</v>
      </c>
      <c r="W18" t="str">
        <f t="shared" si="5"/>
        <v xml:space="preserve"> 0x80,</v>
      </c>
      <c r="X18" t="s">
        <v>0</v>
      </c>
      <c r="Y18" t="s">
        <v>1</v>
      </c>
      <c r="AC18" t="str">
        <f t="shared" si="6"/>
        <v xml:space="preserve"> 0xF0,</v>
      </c>
      <c r="AD18" t="str">
        <f t="shared" si="7"/>
        <v>240,</v>
      </c>
      <c r="AE18" t="str">
        <f t="shared" si="8"/>
        <v>11110000</v>
      </c>
      <c r="AF18">
        <v>1</v>
      </c>
      <c r="AG18">
        <v>1</v>
      </c>
      <c r="AH18">
        <v>1</v>
      </c>
      <c r="AI18">
        <v>1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0xEE,</v>
      </c>
      <c r="BE18" t="str">
        <f t="shared" si="13"/>
        <v>238,</v>
      </c>
      <c r="BF18" t="str">
        <f t="shared" si="14"/>
        <v>11101110</v>
      </c>
      <c r="BG18">
        <v>1</v>
      </c>
      <c r="BH18">
        <v>1</v>
      </c>
      <c r="BI18">
        <v>1</v>
      </c>
      <c r="BJ18">
        <v>0</v>
      </c>
      <c r="BK18">
        <v>1</v>
      </c>
      <c r="BL18">
        <v>1</v>
      </c>
      <c r="BM18">
        <v>1</v>
      </c>
      <c r="BN18">
        <v>0</v>
      </c>
      <c r="BO18">
        <v>1</v>
      </c>
      <c r="BP18">
        <v>1</v>
      </c>
      <c r="BQ18">
        <v>1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11100000</v>
      </c>
      <c r="BX18" t="str">
        <f t="shared" si="16"/>
        <v>224,</v>
      </c>
      <c r="BY18" t="str">
        <f t="shared" si="17"/>
        <v xml:space="preserve"> 0xE0,</v>
      </c>
      <c r="BZ18" t="s">
        <v>0</v>
      </c>
      <c r="CA18" t="s">
        <v>1</v>
      </c>
    </row>
    <row r="19" spans="1:79">
      <c r="B19" t="str">
        <f t="shared" si="0"/>
        <v xml:space="preserve"> 0xE3,</v>
      </c>
      <c r="C19" t="str">
        <f t="shared" si="1"/>
        <v>227,</v>
      </c>
      <c r="D19" t="str">
        <f t="shared" si="2"/>
        <v>11100011</v>
      </c>
      <c r="E19">
        <v>1</v>
      </c>
      <c r="F19">
        <v>1</v>
      </c>
      <c r="G19">
        <v>1</v>
      </c>
      <c r="H19">
        <v>0</v>
      </c>
      <c r="I19">
        <v>0</v>
      </c>
      <c r="J19">
        <v>0</v>
      </c>
      <c r="K19">
        <v>1</v>
      </c>
      <c r="L19">
        <v>1</v>
      </c>
      <c r="M19">
        <v>1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11000000</v>
      </c>
      <c r="V19" t="str">
        <f t="shared" si="4"/>
        <v>192,</v>
      </c>
      <c r="W19" t="str">
        <f t="shared" si="5"/>
        <v xml:space="preserve"> 0xC0,</v>
      </c>
      <c r="X19" t="s">
        <v>0</v>
      </c>
      <c r="Y19" t="s">
        <v>1</v>
      </c>
      <c r="AC19" t="str">
        <f t="shared" si="6"/>
        <v xml:space="preserve"> 0xF0,</v>
      </c>
      <c r="AD19" t="str">
        <f t="shared" si="7"/>
        <v>240,</v>
      </c>
      <c r="AE19" t="str">
        <f t="shared" si="8"/>
        <v>11110000</v>
      </c>
      <c r="AF19">
        <v>1</v>
      </c>
      <c r="AG19">
        <v>1</v>
      </c>
      <c r="AH19">
        <v>1</v>
      </c>
      <c r="AI19">
        <v>1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0xEE,</v>
      </c>
      <c r="BE19" t="str">
        <f t="shared" si="13"/>
        <v>238,</v>
      </c>
      <c r="BF19" t="str">
        <f t="shared" si="14"/>
        <v>11101110</v>
      </c>
      <c r="BG19">
        <v>1</v>
      </c>
      <c r="BH19">
        <v>1</v>
      </c>
      <c r="BI19">
        <v>1</v>
      </c>
      <c r="BJ19">
        <v>0</v>
      </c>
      <c r="BK19">
        <v>1</v>
      </c>
      <c r="BL19">
        <v>1</v>
      </c>
      <c r="BM19">
        <v>1</v>
      </c>
      <c r="BN19">
        <v>0</v>
      </c>
      <c r="BO19">
        <v>1</v>
      </c>
      <c r="BP19">
        <v>1</v>
      </c>
      <c r="BQ19">
        <v>1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11100000</v>
      </c>
      <c r="BX19" t="str">
        <f t="shared" si="16"/>
        <v>224,</v>
      </c>
      <c r="BY19" t="str">
        <f t="shared" si="17"/>
        <v xml:space="preserve"> 0xE0,</v>
      </c>
      <c r="BZ19" t="s">
        <v>0</v>
      </c>
      <c r="CA19" t="s">
        <v>1</v>
      </c>
    </row>
    <row r="20" spans="1:79">
      <c r="B20" t="str">
        <f t="shared" si="0"/>
        <v xml:space="preserve"> 0xE1,</v>
      </c>
      <c r="C20" t="str">
        <f t="shared" si="1"/>
        <v>225,</v>
      </c>
      <c r="D20" t="str">
        <f t="shared" si="2"/>
        <v>11100001</v>
      </c>
      <c r="E20">
        <v>1</v>
      </c>
      <c r="F20">
        <v>1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11000000</v>
      </c>
      <c r="V20" t="str">
        <f t="shared" si="4"/>
        <v>192,</v>
      </c>
      <c r="W20" t="str">
        <f t="shared" si="5"/>
        <v xml:space="preserve"> 0xC0,</v>
      </c>
      <c r="X20" t="s">
        <v>0</v>
      </c>
      <c r="Y20" t="s">
        <v>1</v>
      </c>
      <c r="AC20" t="str">
        <f t="shared" si="6"/>
        <v xml:space="preserve"> 0x70,</v>
      </c>
      <c r="AD20" t="str">
        <f t="shared" si="7"/>
        <v>112,</v>
      </c>
      <c r="AE20" t="str">
        <f t="shared" si="8"/>
        <v>01110000</v>
      </c>
      <c r="AF20">
        <v>0</v>
      </c>
      <c r="AG20">
        <v>1</v>
      </c>
      <c r="AH20">
        <v>1</v>
      </c>
      <c r="AI20">
        <v>1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0xEE,</v>
      </c>
      <c r="BE20" t="str">
        <f t="shared" si="13"/>
        <v>238,</v>
      </c>
      <c r="BF20" t="str">
        <f t="shared" si="14"/>
        <v>11101110</v>
      </c>
      <c r="BG20">
        <v>1</v>
      </c>
      <c r="BH20">
        <v>1</v>
      </c>
      <c r="BI20">
        <v>1</v>
      </c>
      <c r="BJ20">
        <v>0</v>
      </c>
      <c r="BK20">
        <v>1</v>
      </c>
      <c r="BL20">
        <v>1</v>
      </c>
      <c r="BM20">
        <v>1</v>
      </c>
      <c r="BN20">
        <v>0</v>
      </c>
      <c r="BO20">
        <v>1</v>
      </c>
      <c r="BP20">
        <v>1</v>
      </c>
      <c r="BQ20">
        <v>1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11100000</v>
      </c>
      <c r="BX20" t="str">
        <f t="shared" si="16"/>
        <v>224,</v>
      </c>
      <c r="BY20" t="str">
        <f t="shared" si="17"/>
        <v xml:space="preserve"> 0xE0,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10,</v>
      </c>
      <c r="V22" t="str">
        <f>Y20&amp;DEC2HEX(U22,2)&amp;X20</f>
        <v xml:space="preserve"> 0x0A,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0</v>
      </c>
      <c r="AK22">
        <f t="shared" si="19"/>
        <v>0</v>
      </c>
      <c r="AL22">
        <f t="shared" si="19"/>
        <v>0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4,</v>
      </c>
      <c r="AW22" t="str">
        <f>AZ20&amp;DEC2HEX(AV22,2)&amp;AY20</f>
        <v xml:space="preserve"> 0x04,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1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11,</v>
      </c>
      <c r="BX22" t="str">
        <f>CA20&amp;DEC2HEX(BW22,2)&amp;BZ20</f>
        <v xml:space="preserve"> 0x0B,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10,224,0,224,0,224,0,224,0,225,192,227,192,231,128,239,0,254,0,252,0,252,0,254,0,239,0,231,128,227,192,225,192,//k//107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4,224,0,224,0,224,0,224,0,224,0,224,0,224,0,224,0,224,0,224,0,224,0,224,0,224,0,240,0,240,0,112,0,//l//108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11,0,0,0,0,0,0,0,0,255,128,255,192,255,224,238,224,238,224,238,224,238,224,238,224,238,224,238,224,238,224,238,224,//m//109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0x0A, 0xE0, 0x00, 0xE0, 0x00, 0xE0, 0x00, 0xE0, 0x00, 0xE1, 0xC0, 0xE3, 0xC0, 0xE7, 0x80, 0xEF, 0x00, 0xFE, 0x00, 0xFC, 0x00, 0xFC, 0x00, 0xFE, 0x00, 0xEF, 0x00, 0xE7, 0x80, 0xE3, 0xC0, 0xE1, 0xC0,//k//107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0x04, 0xE0, 0x00, 0xE0, 0x00, 0xE0, 0x00, 0xE0, 0x00, 0xE0, 0x00, 0xE0, 0x00, 0xE0, 0x00, 0xE0, 0x00, 0xE0, 0x00, 0xE0, 0x00, 0xE0, 0x00, 0xE0, 0x00, 0xE0, 0x00, 0xF0, 0x00, 0xF0, 0x00, 0x70, 0x00,//l//108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0x0B, 0x00, 0x00, 0x00, 0x00, 0x00, 0x00, 0x00, 0x00, 0xFF, 0x80, 0xFF, 0xC0, 0xFF, 0xE0, 0xEE, 0xE0, 0xEE, 0xE0, 0xEE, 0xE0, 0xEE, 0xE0, 0xEE, 0xE0, 0xEE, 0xE0, 0xEE, 0xE0, 0xEE, 0xE0, 0xEE, 0xE0,//m//109</v>
      </c>
    </row>
    <row r="28" spans="1:79">
      <c r="A28" s="1" t="str">
        <f>$B$24</f>
        <v>10,224,0,224,0,224,0,224,0,225,192,227,192,231,128,239,0,254,0,252,0,252,0,254,0,239,0,231,128,227,192,225,192,//k//107</v>
      </c>
      <c r="E28" t="s">
        <v>4</v>
      </c>
      <c r="AB28" s="1" t="str">
        <f>$AC$24</f>
        <v>4,224,0,224,0,224,0,224,0,224,0,224,0,224,0,224,0,224,0,224,0,224,0,224,0,224,0,240,0,240,0,112,0,//l//108</v>
      </c>
      <c r="AF28" t="s">
        <v>4</v>
      </c>
      <c r="BC28" s="1" t="str">
        <f>$BD$24</f>
        <v>11,0,0,0,0,0,0,0,0,255,128,255,192,255,224,238,224,238,224,238,224,238,224,238,224,238,224,238,224,238,224,238,224,//m//109</v>
      </c>
      <c r="BG28" t="s">
        <v>4</v>
      </c>
    </row>
    <row r="29" spans="1:79">
      <c r="A29" s="2" t="str">
        <f>$B$25</f>
        <v xml:space="preserve"> 0x0A, 0xE0, 0x00, 0xE0, 0x00, 0xE0, 0x00, 0xE0, 0x00, 0xE1, 0xC0, 0xE3, 0xC0, 0xE7, 0x80, 0xEF, 0x00, 0xFE, 0x00, 0xFC, 0x00, 0xFC, 0x00, 0xFE, 0x00, 0xEF, 0x00, 0xE7, 0x80, 0xE3, 0xC0, 0xE1, 0xC0,//k//107</v>
      </c>
      <c r="E29" t="s">
        <v>3</v>
      </c>
      <c r="AB29" s="2" t="str">
        <f>$AC$25</f>
        <v xml:space="preserve"> 0x04, 0xE0, 0x00, 0xE0, 0x00, 0xE0, 0x00, 0xE0, 0x00, 0xE0, 0x00, 0xE0, 0x00, 0xE0, 0x00, 0xE0, 0x00, 0xE0, 0x00, 0xE0, 0x00, 0xE0, 0x00, 0xE0, 0x00, 0xE0, 0x00, 0xF0, 0x00, 0xF0, 0x00, 0x70, 0x00,//l//108</v>
      </c>
      <c r="AF29" t="s">
        <v>3</v>
      </c>
      <c r="BC29" s="2" t="str">
        <f>$BD$25</f>
        <v xml:space="preserve"> 0x0B, 0x00, 0x00, 0x00, 0x00, 0x00, 0x00, 0x00, 0x00, 0xFF, 0x80, 0xFF, 0xC0, 0xFF, 0xE0, 0xEE, 0xE0, 0xEE, 0xE0, 0xEE, 0xE0, 0xEE, 0xE0, 0xEE, 0xE0, 0xEE, 0xE0, 0xEE, 0xE0, 0xEE, 0xE0, 0xEE, 0xE0,//m//109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32"/>
  <dimension ref="A4:CB29"/>
  <sheetViews>
    <sheetView workbookViewId="0">
      <selection activeCell="G25" sqref="G25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110</v>
      </c>
      <c r="Z4" t="s">
        <v>5</v>
      </c>
      <c r="AB4" s="3">
        <v>111</v>
      </c>
      <c r="BA4" t="s">
        <v>5</v>
      </c>
      <c r="BC4" s="3">
        <v>112</v>
      </c>
      <c r="CB4" t="s">
        <v>5</v>
      </c>
    </row>
    <row r="5" spans="1:80">
      <c r="A5" s="3" t="s">
        <v>278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279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280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0xEF,</v>
      </c>
      <c r="C9" t="str">
        <f t="shared" si="1"/>
        <v>239,</v>
      </c>
      <c r="D9" t="str">
        <f t="shared" si="2"/>
        <v>11101111</v>
      </c>
      <c r="E9">
        <v>1</v>
      </c>
      <c r="F9">
        <v>1</v>
      </c>
      <c r="G9">
        <v>1</v>
      </c>
      <c r="H9">
        <v>0</v>
      </c>
      <c r="I9">
        <v>1</v>
      </c>
      <c r="J9">
        <v>1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0x3F,</v>
      </c>
      <c r="AD9" t="str">
        <f t="shared" si="7"/>
        <v>63,</v>
      </c>
      <c r="AE9" t="str">
        <f t="shared" si="8"/>
        <v>00111111</v>
      </c>
      <c r="AF9">
        <v>0</v>
      </c>
      <c r="AG9">
        <v>0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0x00,</v>
      </c>
      <c r="BE9" t="str">
        <f t="shared" si="13"/>
        <v>0,</v>
      </c>
      <c r="BF9" t="str">
        <f t="shared" si="14"/>
        <v>00000000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0xFF,</v>
      </c>
      <c r="C10" t="str">
        <f t="shared" si="1"/>
        <v>255,</v>
      </c>
      <c r="D10" t="str">
        <f t="shared" si="2"/>
        <v>11111111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10000000</v>
      </c>
      <c r="V10" t="str">
        <f t="shared" si="4"/>
        <v>128,</v>
      </c>
      <c r="W10" t="str">
        <f t="shared" si="5"/>
        <v xml:space="preserve"> 0x80,</v>
      </c>
      <c r="X10" t="s">
        <v>0</v>
      </c>
      <c r="Y10" t="s">
        <v>1</v>
      </c>
      <c r="AC10" t="str">
        <f t="shared" si="6"/>
        <v xml:space="preserve"> 0x7F,</v>
      </c>
      <c r="AD10" t="str">
        <f t="shared" si="7"/>
        <v>127,</v>
      </c>
      <c r="AE10" t="str">
        <f t="shared" si="8"/>
        <v>01111111</v>
      </c>
      <c r="AF10">
        <v>0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10000000</v>
      </c>
      <c r="AW10" t="str">
        <f t="shared" si="10"/>
        <v>128,</v>
      </c>
      <c r="AX10" t="str">
        <f t="shared" si="11"/>
        <v xml:space="preserve"> 0x80,</v>
      </c>
      <c r="AY10" t="s">
        <v>0</v>
      </c>
      <c r="AZ10" t="s">
        <v>1</v>
      </c>
      <c r="BD10" t="str">
        <f t="shared" si="12"/>
        <v xml:space="preserve"> 0xEF,</v>
      </c>
      <c r="BE10" t="str">
        <f t="shared" si="13"/>
        <v>239,</v>
      </c>
      <c r="BF10" t="str">
        <f t="shared" si="14"/>
        <v>11101111</v>
      </c>
      <c r="BG10">
        <v>1</v>
      </c>
      <c r="BH10">
        <v>1</v>
      </c>
      <c r="BI10">
        <v>1</v>
      </c>
      <c r="BJ10">
        <v>0</v>
      </c>
      <c r="BK10">
        <v>1</v>
      </c>
      <c r="BL10">
        <v>1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0xF3,</v>
      </c>
      <c r="C11" t="str">
        <f t="shared" si="1"/>
        <v>243,</v>
      </c>
      <c r="D11" t="str">
        <f t="shared" si="2"/>
        <v>11110011</v>
      </c>
      <c r="E11">
        <v>1</v>
      </c>
      <c r="F11">
        <v>1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11000000</v>
      </c>
      <c r="V11" t="str">
        <f t="shared" si="4"/>
        <v>192,</v>
      </c>
      <c r="W11" t="str">
        <f t="shared" si="5"/>
        <v xml:space="preserve"> 0xC0,</v>
      </c>
      <c r="X11" t="s">
        <v>0</v>
      </c>
      <c r="Y11" t="s">
        <v>1</v>
      </c>
      <c r="AC11" t="str">
        <f t="shared" si="6"/>
        <v xml:space="preserve"> 0xF3,</v>
      </c>
      <c r="AD11" t="str">
        <f t="shared" si="7"/>
        <v>243,</v>
      </c>
      <c r="AE11" t="str">
        <f t="shared" si="8"/>
        <v>11110011</v>
      </c>
      <c r="AF11">
        <v>1</v>
      </c>
      <c r="AG11">
        <v>1</v>
      </c>
      <c r="AH11">
        <v>1</v>
      </c>
      <c r="AI11">
        <v>1</v>
      </c>
      <c r="AJ11">
        <v>0</v>
      </c>
      <c r="AK11">
        <v>0</v>
      </c>
      <c r="AL11">
        <v>1</v>
      </c>
      <c r="AM11">
        <v>1</v>
      </c>
      <c r="AN11">
        <v>1</v>
      </c>
      <c r="AO11">
        <v>1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11000000</v>
      </c>
      <c r="AW11" t="str">
        <f t="shared" si="10"/>
        <v>192,</v>
      </c>
      <c r="AX11" t="str">
        <f t="shared" si="11"/>
        <v xml:space="preserve"> 0xC0,</v>
      </c>
      <c r="AY11" t="s">
        <v>0</v>
      </c>
      <c r="AZ11" t="s">
        <v>1</v>
      </c>
      <c r="BD11" t="str">
        <f t="shared" si="12"/>
        <v xml:space="preserve"> 0xFF,</v>
      </c>
      <c r="BE11" t="str">
        <f t="shared" si="13"/>
        <v>255,</v>
      </c>
      <c r="BF11" t="str">
        <f t="shared" si="14"/>
        <v>11111111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10000000</v>
      </c>
      <c r="BX11" t="str">
        <f t="shared" si="16"/>
        <v>128,</v>
      </c>
      <c r="BY11" t="str">
        <f t="shared" si="17"/>
        <v xml:space="preserve"> 0x80,</v>
      </c>
      <c r="BZ11" t="s">
        <v>0</v>
      </c>
      <c r="CA11" t="s">
        <v>1</v>
      </c>
    </row>
    <row r="12" spans="1:80">
      <c r="B12" t="str">
        <f t="shared" si="0"/>
        <v xml:space="preserve"> 0xE1,</v>
      </c>
      <c r="C12" t="str">
        <f t="shared" si="1"/>
        <v>225,</v>
      </c>
      <c r="D12" t="str">
        <f t="shared" si="2"/>
        <v>11100001</v>
      </c>
      <c r="E12">
        <v>1</v>
      </c>
      <c r="F12">
        <v>1</v>
      </c>
      <c r="G12">
        <v>1</v>
      </c>
      <c r="H12">
        <v>0</v>
      </c>
      <c r="I12">
        <v>0</v>
      </c>
      <c r="J12">
        <v>0</v>
      </c>
      <c r="K12">
        <v>0</v>
      </c>
      <c r="L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0xE1,</v>
      </c>
      <c r="AD12" t="str">
        <f t="shared" si="7"/>
        <v>225,</v>
      </c>
      <c r="AE12" t="str">
        <f t="shared" si="8"/>
        <v>11100001</v>
      </c>
      <c r="AF12">
        <v>1</v>
      </c>
      <c r="AG12">
        <v>1</v>
      </c>
      <c r="AH12">
        <v>1</v>
      </c>
      <c r="AI12">
        <v>0</v>
      </c>
      <c r="AJ12">
        <v>0</v>
      </c>
      <c r="AK12">
        <v>0</v>
      </c>
      <c r="AL12">
        <v>0</v>
      </c>
      <c r="AM12">
        <v>1</v>
      </c>
      <c r="AN12">
        <v>1</v>
      </c>
      <c r="AO12">
        <v>1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11000000</v>
      </c>
      <c r="AW12" t="str">
        <f t="shared" si="10"/>
        <v>192,</v>
      </c>
      <c r="AX12" t="str">
        <f t="shared" si="11"/>
        <v xml:space="preserve"> 0xC0,</v>
      </c>
      <c r="AY12" t="s">
        <v>0</v>
      </c>
      <c r="AZ12" t="s">
        <v>1</v>
      </c>
      <c r="BD12" t="str">
        <f t="shared" si="12"/>
        <v xml:space="preserve"> 0xF3,</v>
      </c>
      <c r="BE12" t="str">
        <f t="shared" si="13"/>
        <v>243,</v>
      </c>
      <c r="BF12" t="str">
        <f t="shared" si="14"/>
        <v>11110011</v>
      </c>
      <c r="BG12">
        <v>1</v>
      </c>
      <c r="BH12">
        <v>1</v>
      </c>
      <c r="BI12">
        <v>1</v>
      </c>
      <c r="BJ12">
        <v>1</v>
      </c>
      <c r="BK12">
        <v>0</v>
      </c>
      <c r="BL12">
        <v>0</v>
      </c>
      <c r="BM12">
        <v>1</v>
      </c>
      <c r="BN12">
        <v>1</v>
      </c>
      <c r="BO12">
        <v>1</v>
      </c>
      <c r="BP12">
        <v>1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11000000</v>
      </c>
      <c r="BX12" t="str">
        <f t="shared" si="16"/>
        <v>192,</v>
      </c>
      <c r="BY12" t="str">
        <f t="shared" si="17"/>
        <v xml:space="preserve"> 0xC0,</v>
      </c>
      <c r="BZ12" t="s">
        <v>0</v>
      </c>
      <c r="CA12" t="s">
        <v>1</v>
      </c>
    </row>
    <row r="13" spans="1:80">
      <c r="B13" t="str">
        <f t="shared" si="0"/>
        <v xml:space="preserve"> 0xE1,</v>
      </c>
      <c r="C13" t="str">
        <f t="shared" si="1"/>
        <v>225,</v>
      </c>
      <c r="D13" t="str">
        <f t="shared" si="2"/>
        <v>11100001</v>
      </c>
      <c r="E13">
        <v>1</v>
      </c>
      <c r="F13">
        <v>1</v>
      </c>
      <c r="G13">
        <v>1</v>
      </c>
      <c r="H13">
        <v>0</v>
      </c>
      <c r="I13">
        <v>0</v>
      </c>
      <c r="J13">
        <v>0</v>
      </c>
      <c r="K13">
        <v>0</v>
      </c>
      <c r="L13">
        <v>1</v>
      </c>
      <c r="M13">
        <v>1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11000000</v>
      </c>
      <c r="V13" t="str">
        <f t="shared" si="4"/>
        <v>192,</v>
      </c>
      <c r="W13" t="str">
        <f t="shared" si="5"/>
        <v xml:space="preserve"> 0xC0,</v>
      </c>
      <c r="X13" t="s">
        <v>0</v>
      </c>
      <c r="Y13" t="s">
        <v>1</v>
      </c>
      <c r="AC13" t="str">
        <f t="shared" si="6"/>
        <v xml:space="preserve"> 0xE1,</v>
      </c>
      <c r="AD13" t="str">
        <f t="shared" si="7"/>
        <v>225,</v>
      </c>
      <c r="AE13" t="str">
        <f t="shared" si="8"/>
        <v>11100001</v>
      </c>
      <c r="AF13">
        <v>1</v>
      </c>
      <c r="AG13">
        <v>1</v>
      </c>
      <c r="AH13">
        <v>1</v>
      </c>
      <c r="AI13">
        <v>0</v>
      </c>
      <c r="AJ13">
        <v>0</v>
      </c>
      <c r="AK13">
        <v>0</v>
      </c>
      <c r="AL13">
        <v>0</v>
      </c>
      <c r="AM13">
        <v>1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11000000</v>
      </c>
      <c r="AW13" t="str">
        <f t="shared" si="10"/>
        <v>192,</v>
      </c>
      <c r="AX13" t="str">
        <f t="shared" si="11"/>
        <v xml:space="preserve"> 0xC0,</v>
      </c>
      <c r="AY13" t="s">
        <v>0</v>
      </c>
      <c r="AZ13" t="s">
        <v>1</v>
      </c>
      <c r="BD13" t="str">
        <f t="shared" si="12"/>
        <v xml:space="preserve"> 0xE1,</v>
      </c>
      <c r="BE13" t="str">
        <f t="shared" si="13"/>
        <v>225,</v>
      </c>
      <c r="BF13" t="str">
        <f t="shared" si="14"/>
        <v>11100001</v>
      </c>
      <c r="BG13">
        <v>1</v>
      </c>
      <c r="BH13">
        <v>1</v>
      </c>
      <c r="BI13">
        <v>1</v>
      </c>
      <c r="BJ13">
        <v>0</v>
      </c>
      <c r="BK13">
        <v>0</v>
      </c>
      <c r="BL13">
        <v>0</v>
      </c>
      <c r="BM13">
        <v>0</v>
      </c>
      <c r="BN13">
        <v>1</v>
      </c>
      <c r="BO13">
        <v>1</v>
      </c>
      <c r="BP13">
        <v>1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11000000</v>
      </c>
      <c r="BX13" t="str">
        <f t="shared" si="16"/>
        <v>192,</v>
      </c>
      <c r="BY13" t="str">
        <f t="shared" si="17"/>
        <v xml:space="preserve"> 0xC0,</v>
      </c>
      <c r="BZ13" t="s">
        <v>0</v>
      </c>
      <c r="CA13" t="s">
        <v>1</v>
      </c>
    </row>
    <row r="14" spans="1:80">
      <c r="B14" t="str">
        <f t="shared" si="0"/>
        <v xml:space="preserve"> 0xE1,</v>
      </c>
      <c r="C14" t="str">
        <f t="shared" si="1"/>
        <v>225,</v>
      </c>
      <c r="D14" t="str">
        <f t="shared" si="2"/>
        <v>11100001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11000000</v>
      </c>
      <c r="V14" t="str">
        <f t="shared" si="4"/>
        <v>192,</v>
      </c>
      <c r="W14" t="str">
        <f t="shared" si="5"/>
        <v xml:space="preserve"> 0xC0,</v>
      </c>
      <c r="X14" t="s">
        <v>0</v>
      </c>
      <c r="Y14" t="s">
        <v>1</v>
      </c>
      <c r="AC14" t="str">
        <f t="shared" si="6"/>
        <v xml:space="preserve"> 0xE1,</v>
      </c>
      <c r="AD14" t="str">
        <f t="shared" si="7"/>
        <v>225,</v>
      </c>
      <c r="AE14" t="str">
        <f t="shared" si="8"/>
        <v>11100001</v>
      </c>
      <c r="AF14">
        <v>1</v>
      </c>
      <c r="AG14">
        <v>1</v>
      </c>
      <c r="AH14">
        <v>1</v>
      </c>
      <c r="AI14">
        <v>0</v>
      </c>
      <c r="AJ14">
        <v>0</v>
      </c>
      <c r="AK14">
        <v>0</v>
      </c>
      <c r="AL14">
        <v>0</v>
      </c>
      <c r="AM14">
        <v>1</v>
      </c>
      <c r="AN14">
        <v>1</v>
      </c>
      <c r="AO14">
        <v>1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11000000</v>
      </c>
      <c r="AW14" t="str">
        <f t="shared" si="10"/>
        <v>192,</v>
      </c>
      <c r="AX14" t="str">
        <f t="shared" si="11"/>
        <v xml:space="preserve"> 0xC0,</v>
      </c>
      <c r="AY14" t="s">
        <v>0</v>
      </c>
      <c r="AZ14" t="s">
        <v>1</v>
      </c>
      <c r="BD14" t="str">
        <f t="shared" si="12"/>
        <v xml:space="preserve"> 0xE1,</v>
      </c>
      <c r="BE14" t="str">
        <f t="shared" si="13"/>
        <v>225,</v>
      </c>
      <c r="BF14" t="str">
        <f t="shared" si="14"/>
        <v>11100001</v>
      </c>
      <c r="BG14">
        <v>1</v>
      </c>
      <c r="BH14">
        <v>1</v>
      </c>
      <c r="BI14">
        <v>1</v>
      </c>
      <c r="BJ14">
        <v>0</v>
      </c>
      <c r="BK14">
        <v>0</v>
      </c>
      <c r="BL14">
        <v>0</v>
      </c>
      <c r="BM14">
        <v>0</v>
      </c>
      <c r="BN14">
        <v>1</v>
      </c>
      <c r="BO14">
        <v>1</v>
      </c>
      <c r="BP14">
        <v>1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11000000</v>
      </c>
      <c r="BX14" t="str">
        <f t="shared" si="16"/>
        <v>192,</v>
      </c>
      <c r="BY14" t="str">
        <f t="shared" si="17"/>
        <v xml:space="preserve"> 0xC0,</v>
      </c>
      <c r="BZ14" t="s">
        <v>0</v>
      </c>
      <c r="CA14" t="s">
        <v>1</v>
      </c>
    </row>
    <row r="15" spans="1:80">
      <c r="B15" t="str">
        <f t="shared" si="0"/>
        <v xml:space="preserve"> 0xE1,</v>
      </c>
      <c r="C15" t="str">
        <f t="shared" si="1"/>
        <v>225,</v>
      </c>
      <c r="D15" t="str">
        <f t="shared" si="2"/>
        <v>11100001</v>
      </c>
      <c r="E15">
        <v>1</v>
      </c>
      <c r="F15">
        <v>1</v>
      </c>
      <c r="G15">
        <v>1</v>
      </c>
      <c r="H15">
        <v>0</v>
      </c>
      <c r="I15">
        <v>0</v>
      </c>
      <c r="J15">
        <v>0</v>
      </c>
      <c r="K15">
        <v>0</v>
      </c>
      <c r="L15">
        <v>1</v>
      </c>
      <c r="M15">
        <v>1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11000000</v>
      </c>
      <c r="V15" t="str">
        <f t="shared" si="4"/>
        <v>192,</v>
      </c>
      <c r="W15" t="str">
        <f t="shared" si="5"/>
        <v xml:space="preserve"> 0xC0,</v>
      </c>
      <c r="X15" t="s">
        <v>0</v>
      </c>
      <c r="Y15" t="s">
        <v>1</v>
      </c>
      <c r="AC15" t="str">
        <f t="shared" si="6"/>
        <v xml:space="preserve"> 0xE1,</v>
      </c>
      <c r="AD15" t="str">
        <f t="shared" si="7"/>
        <v>225,</v>
      </c>
      <c r="AE15" t="str">
        <f t="shared" si="8"/>
        <v>11100001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0</v>
      </c>
      <c r="AL15">
        <v>0</v>
      </c>
      <c r="AM15">
        <v>1</v>
      </c>
      <c r="AN15">
        <v>1</v>
      </c>
      <c r="AO15">
        <v>1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11000000</v>
      </c>
      <c r="AW15" t="str">
        <f t="shared" si="10"/>
        <v>192,</v>
      </c>
      <c r="AX15" t="str">
        <f t="shared" si="11"/>
        <v xml:space="preserve"> 0xC0,</v>
      </c>
      <c r="AY15" t="s">
        <v>0</v>
      </c>
      <c r="AZ15" t="s">
        <v>1</v>
      </c>
      <c r="BD15" t="str">
        <f t="shared" si="12"/>
        <v xml:space="preserve"> 0xE1,</v>
      </c>
      <c r="BE15" t="str">
        <f t="shared" si="13"/>
        <v>225,</v>
      </c>
      <c r="BF15" t="str">
        <f t="shared" si="14"/>
        <v>11100001</v>
      </c>
      <c r="BG15">
        <v>1</v>
      </c>
      <c r="BH15">
        <v>1</v>
      </c>
      <c r="BI15">
        <v>1</v>
      </c>
      <c r="BJ15">
        <v>0</v>
      </c>
      <c r="BK15">
        <v>0</v>
      </c>
      <c r="BL15">
        <v>0</v>
      </c>
      <c r="BM15">
        <v>0</v>
      </c>
      <c r="BN15">
        <v>1</v>
      </c>
      <c r="BO15">
        <v>1</v>
      </c>
      <c r="BP15">
        <v>1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11000000</v>
      </c>
      <c r="BX15" t="str">
        <f t="shared" si="16"/>
        <v>192,</v>
      </c>
      <c r="BY15" t="str">
        <f t="shared" si="17"/>
        <v xml:space="preserve"> 0xC0,</v>
      </c>
      <c r="BZ15" t="s">
        <v>0</v>
      </c>
      <c r="CA15" t="s">
        <v>1</v>
      </c>
    </row>
    <row r="16" spans="1:80">
      <c r="B16" t="str">
        <f t="shared" si="0"/>
        <v xml:space="preserve"> 0xE1,</v>
      </c>
      <c r="C16" t="str">
        <f t="shared" si="1"/>
        <v>225,</v>
      </c>
      <c r="D16" t="str">
        <f t="shared" si="2"/>
        <v>11100001</v>
      </c>
      <c r="E16">
        <v>1</v>
      </c>
      <c r="F16">
        <v>1</v>
      </c>
      <c r="G16">
        <v>1</v>
      </c>
      <c r="H16">
        <v>0</v>
      </c>
      <c r="I16">
        <v>0</v>
      </c>
      <c r="J16">
        <v>0</v>
      </c>
      <c r="K16">
        <v>0</v>
      </c>
      <c r="L16">
        <v>1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11000000</v>
      </c>
      <c r="V16" t="str">
        <f t="shared" si="4"/>
        <v>192,</v>
      </c>
      <c r="W16" t="str">
        <f t="shared" si="5"/>
        <v xml:space="preserve"> 0xC0,</v>
      </c>
      <c r="X16" t="s">
        <v>0</v>
      </c>
      <c r="Y16" t="s">
        <v>1</v>
      </c>
      <c r="AC16" t="str">
        <f t="shared" si="6"/>
        <v xml:space="preserve"> 0xE1,</v>
      </c>
      <c r="AD16" t="str">
        <f t="shared" si="7"/>
        <v>225,</v>
      </c>
      <c r="AE16" t="str">
        <f t="shared" si="8"/>
        <v>11100001</v>
      </c>
      <c r="AF16">
        <v>1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0</v>
      </c>
      <c r="AM16">
        <v>1</v>
      </c>
      <c r="AN16">
        <v>1</v>
      </c>
      <c r="AO16">
        <v>1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11000000</v>
      </c>
      <c r="AW16" t="str">
        <f t="shared" si="10"/>
        <v>192,</v>
      </c>
      <c r="AX16" t="str">
        <f t="shared" si="11"/>
        <v xml:space="preserve"> 0xC0,</v>
      </c>
      <c r="AY16" t="s">
        <v>0</v>
      </c>
      <c r="AZ16" t="s">
        <v>1</v>
      </c>
      <c r="BD16" t="str">
        <f t="shared" si="12"/>
        <v xml:space="preserve"> 0xF3,</v>
      </c>
      <c r="BE16" t="str">
        <f t="shared" si="13"/>
        <v>243,</v>
      </c>
      <c r="BF16" t="str">
        <f t="shared" si="14"/>
        <v>11110011</v>
      </c>
      <c r="BG16">
        <v>1</v>
      </c>
      <c r="BH16">
        <v>1</v>
      </c>
      <c r="BI16">
        <v>1</v>
      </c>
      <c r="BJ16">
        <v>1</v>
      </c>
      <c r="BK16">
        <v>0</v>
      </c>
      <c r="BL16">
        <v>0</v>
      </c>
      <c r="BM16">
        <v>1</v>
      </c>
      <c r="BN16">
        <v>1</v>
      </c>
      <c r="BO16">
        <v>1</v>
      </c>
      <c r="BP16">
        <v>1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11000000</v>
      </c>
      <c r="BX16" t="str">
        <f t="shared" si="16"/>
        <v>192,</v>
      </c>
      <c r="BY16" t="str">
        <f t="shared" si="17"/>
        <v xml:space="preserve"> 0xC0,</v>
      </c>
      <c r="BZ16" t="s">
        <v>0</v>
      </c>
      <c r="CA16" t="s">
        <v>1</v>
      </c>
    </row>
    <row r="17" spans="1:79">
      <c r="B17" t="str">
        <f t="shared" si="0"/>
        <v xml:space="preserve"> 0xE1,</v>
      </c>
      <c r="C17" t="str">
        <f t="shared" si="1"/>
        <v>225,</v>
      </c>
      <c r="D17" t="str">
        <f t="shared" si="2"/>
        <v>11100001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0</v>
      </c>
      <c r="L17">
        <v>1</v>
      </c>
      <c r="M17">
        <v>1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11000000</v>
      </c>
      <c r="V17" t="str">
        <f t="shared" si="4"/>
        <v>192,</v>
      </c>
      <c r="W17" t="str">
        <f t="shared" si="5"/>
        <v xml:space="preserve"> 0xC0,</v>
      </c>
      <c r="X17" t="s">
        <v>0</v>
      </c>
      <c r="Y17" t="s">
        <v>1</v>
      </c>
      <c r="AC17" t="str">
        <f t="shared" si="6"/>
        <v xml:space="preserve"> 0xE1,</v>
      </c>
      <c r="AD17" t="str">
        <f t="shared" si="7"/>
        <v>225,</v>
      </c>
      <c r="AE17" t="str">
        <f t="shared" si="8"/>
        <v>11100001</v>
      </c>
      <c r="AF17">
        <v>1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1</v>
      </c>
      <c r="AN17">
        <v>1</v>
      </c>
      <c r="AO17">
        <v>1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11000000</v>
      </c>
      <c r="AW17" t="str">
        <f t="shared" si="10"/>
        <v>192,</v>
      </c>
      <c r="AX17" t="str">
        <f t="shared" si="11"/>
        <v xml:space="preserve"> 0xC0,</v>
      </c>
      <c r="AY17" t="s">
        <v>0</v>
      </c>
      <c r="AZ17" t="s">
        <v>1</v>
      </c>
      <c r="BD17" t="str">
        <f t="shared" si="12"/>
        <v xml:space="preserve"> 0xFF,</v>
      </c>
      <c r="BE17" t="str">
        <f t="shared" si="13"/>
        <v>255,</v>
      </c>
      <c r="BF17" t="str">
        <f t="shared" si="14"/>
        <v>11111111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10000000</v>
      </c>
      <c r="BX17" t="str">
        <f t="shared" si="16"/>
        <v>128,</v>
      </c>
      <c r="BY17" t="str">
        <f t="shared" si="17"/>
        <v xml:space="preserve"> 0x80,</v>
      </c>
      <c r="BZ17" t="s">
        <v>0</v>
      </c>
      <c r="CA17" t="s">
        <v>1</v>
      </c>
    </row>
    <row r="18" spans="1:79">
      <c r="B18" t="str">
        <f t="shared" si="0"/>
        <v xml:space="preserve"> 0xE1,</v>
      </c>
      <c r="C18" t="str">
        <f t="shared" si="1"/>
        <v>225,</v>
      </c>
      <c r="D18" t="str">
        <f t="shared" si="2"/>
        <v>11100001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11000000</v>
      </c>
      <c r="V18" t="str">
        <f t="shared" si="4"/>
        <v>192,</v>
      </c>
      <c r="W18" t="str">
        <f t="shared" si="5"/>
        <v xml:space="preserve"> 0xC0,</v>
      </c>
      <c r="X18" t="s">
        <v>0</v>
      </c>
      <c r="Y18" t="s">
        <v>1</v>
      </c>
      <c r="AC18" t="str">
        <f t="shared" si="6"/>
        <v xml:space="preserve"> 0xF3,</v>
      </c>
      <c r="AD18" t="str">
        <f t="shared" si="7"/>
        <v>243,</v>
      </c>
      <c r="AE18" t="str">
        <f t="shared" si="8"/>
        <v>11110011</v>
      </c>
      <c r="AF18">
        <v>1</v>
      </c>
      <c r="AG18">
        <v>1</v>
      </c>
      <c r="AH18">
        <v>1</v>
      </c>
      <c r="AI18">
        <v>1</v>
      </c>
      <c r="AJ18">
        <v>0</v>
      </c>
      <c r="AK18">
        <v>0</v>
      </c>
      <c r="AL18">
        <v>1</v>
      </c>
      <c r="AM18">
        <v>1</v>
      </c>
      <c r="AN18">
        <v>1</v>
      </c>
      <c r="AO18">
        <v>1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11000000</v>
      </c>
      <c r="AW18" t="str">
        <f t="shared" si="10"/>
        <v>192,</v>
      </c>
      <c r="AX18" t="str">
        <f t="shared" si="11"/>
        <v xml:space="preserve"> 0xC0,</v>
      </c>
      <c r="AY18" t="s">
        <v>0</v>
      </c>
      <c r="AZ18" t="s">
        <v>1</v>
      </c>
      <c r="BD18" t="str">
        <f t="shared" si="12"/>
        <v xml:space="preserve"> 0xEF,</v>
      </c>
      <c r="BE18" t="str">
        <f t="shared" si="13"/>
        <v>239,</v>
      </c>
      <c r="BF18" t="str">
        <f t="shared" si="14"/>
        <v>11101111</v>
      </c>
      <c r="BG18">
        <v>1</v>
      </c>
      <c r="BH18">
        <v>1</v>
      </c>
      <c r="BI18">
        <v>1</v>
      </c>
      <c r="BJ18">
        <v>0</v>
      </c>
      <c r="BK18">
        <v>1</v>
      </c>
      <c r="BL18">
        <v>1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0xE1,</v>
      </c>
      <c r="C19" t="str">
        <f t="shared" si="1"/>
        <v>225,</v>
      </c>
      <c r="D19" t="str">
        <f t="shared" si="2"/>
        <v>11100001</v>
      </c>
      <c r="E19">
        <v>1</v>
      </c>
      <c r="F19">
        <v>1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1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11000000</v>
      </c>
      <c r="V19" t="str">
        <f t="shared" si="4"/>
        <v>192,</v>
      </c>
      <c r="W19" t="str">
        <f t="shared" si="5"/>
        <v xml:space="preserve"> 0xC0,</v>
      </c>
      <c r="X19" t="s">
        <v>0</v>
      </c>
      <c r="Y19" t="s">
        <v>1</v>
      </c>
      <c r="AC19" t="str">
        <f t="shared" si="6"/>
        <v xml:space="preserve"> 0x7F,</v>
      </c>
      <c r="AD19" t="str">
        <f t="shared" si="7"/>
        <v>127,</v>
      </c>
      <c r="AE19" t="str">
        <f t="shared" si="8"/>
        <v>01111111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10000000</v>
      </c>
      <c r="AW19" t="str">
        <f t="shared" si="10"/>
        <v>128,</v>
      </c>
      <c r="AX19" t="str">
        <f t="shared" si="11"/>
        <v xml:space="preserve"> 0x80,</v>
      </c>
      <c r="AY19" t="s">
        <v>0</v>
      </c>
      <c r="AZ19" t="s">
        <v>1</v>
      </c>
      <c r="BD19" t="str">
        <f t="shared" si="12"/>
        <v xml:space="preserve"> 0xE0,</v>
      </c>
      <c r="BE19" t="str">
        <f t="shared" si="13"/>
        <v>224,</v>
      </c>
      <c r="BF19" t="str">
        <f t="shared" si="14"/>
        <v>11100000</v>
      </c>
      <c r="BG19">
        <v>1</v>
      </c>
      <c r="BH19">
        <v>1</v>
      </c>
      <c r="BI19">
        <v>1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0xE1,</v>
      </c>
      <c r="C20" t="str">
        <f t="shared" si="1"/>
        <v>225,</v>
      </c>
      <c r="D20" t="str">
        <f t="shared" si="2"/>
        <v>11100001</v>
      </c>
      <c r="E20">
        <v>1</v>
      </c>
      <c r="F20">
        <v>1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11000000</v>
      </c>
      <c r="V20" t="str">
        <f t="shared" si="4"/>
        <v>192,</v>
      </c>
      <c r="W20" t="str">
        <f t="shared" si="5"/>
        <v xml:space="preserve"> 0xC0,</v>
      </c>
      <c r="X20" t="s">
        <v>0</v>
      </c>
      <c r="Y20" t="s">
        <v>1</v>
      </c>
      <c r="AC20" t="str">
        <f t="shared" si="6"/>
        <v xml:space="preserve"> 0x3F,</v>
      </c>
      <c r="AD20" t="str">
        <f t="shared" si="7"/>
        <v>63,</v>
      </c>
      <c r="AE20" t="str">
        <f t="shared" si="8"/>
        <v>00111111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0xE0,</v>
      </c>
      <c r="BE20" t="str">
        <f t="shared" si="13"/>
        <v>224,</v>
      </c>
      <c r="BF20" t="str">
        <f t="shared" si="14"/>
        <v>11100000</v>
      </c>
      <c r="BG20">
        <v>1</v>
      </c>
      <c r="BH20">
        <v>1</v>
      </c>
      <c r="BI20">
        <v>1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10,</v>
      </c>
      <c r="V22" t="str">
        <f>Y20&amp;DEC2HEX(U22,2)&amp;X20</f>
        <v xml:space="preserve"> 0x0A,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10,</v>
      </c>
      <c r="AW22" t="str">
        <f>AZ20&amp;DEC2HEX(AV22,2)&amp;AY20</f>
        <v xml:space="preserve"> 0x0A,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10,</v>
      </c>
      <c r="BX22" t="str">
        <f>CA20&amp;DEC2HEX(BW22,2)&amp;BZ20</f>
        <v xml:space="preserve"> 0x0A,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10,0,0,0,0,0,0,0,0,239,0,255,128,243,192,225,192,225,192,225,192,225,192,225,192,225,192,225,192,225,192,225,192,//n//110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10,0,0,0,0,0,0,0,0,63,0,127,128,243,192,225,192,225,192,225,192,225,192,225,192,225,192,243,192,127,128,63,0,//o//111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10,0,0,0,0,0,0,0,0,0,0,239,0,255,128,243,192,225,192,225,192,225,192,243,192,255,128,239,0,224,0,224,0,//p//112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0x0A, 0x00, 0x00, 0x00, 0x00, 0x00, 0x00, 0x00, 0x00, 0xEF, 0x00, 0xFF, 0x80, 0xF3, 0xC0, 0xE1, 0xC0, 0xE1, 0xC0, 0xE1, 0xC0, 0xE1, 0xC0, 0xE1, 0xC0, 0xE1, 0xC0, 0xE1, 0xC0, 0xE1, 0xC0, 0xE1, 0xC0,//n//110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0x0A, 0x00, 0x00, 0x00, 0x00, 0x00, 0x00, 0x00, 0x00, 0x3F, 0x00, 0x7F, 0x80, 0xF3, 0xC0, 0xE1, 0xC0, 0xE1, 0xC0, 0xE1, 0xC0, 0xE1, 0xC0, 0xE1, 0xC0, 0xE1, 0xC0, 0xF3, 0xC0, 0x7F, 0x80, 0x3F, 0x00,//o//111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0x0A, 0x00, 0x00, 0x00, 0x00, 0x00, 0x00, 0x00, 0x00, 0x00, 0x00, 0xEF, 0x00, 0xFF, 0x80, 0xF3, 0xC0, 0xE1, 0xC0, 0xE1, 0xC0, 0xE1, 0xC0, 0xF3, 0xC0, 0xFF, 0x80, 0xEF, 0x00, 0xE0, 0x00, 0xE0, 0x00,//p//112</v>
      </c>
    </row>
    <row r="28" spans="1:79">
      <c r="A28" s="1" t="str">
        <f>$B$24</f>
        <v>10,0,0,0,0,0,0,0,0,239,0,255,128,243,192,225,192,225,192,225,192,225,192,225,192,225,192,225,192,225,192,225,192,//n//110</v>
      </c>
      <c r="E28" t="s">
        <v>4</v>
      </c>
      <c r="AB28" s="1" t="str">
        <f>$AC$24</f>
        <v>10,0,0,0,0,0,0,0,0,63,0,127,128,243,192,225,192,225,192,225,192,225,192,225,192,225,192,243,192,127,128,63,0,//o//111</v>
      </c>
      <c r="AF28" t="s">
        <v>4</v>
      </c>
      <c r="BC28" s="1" t="str">
        <f>$BD$24</f>
        <v>10,0,0,0,0,0,0,0,0,0,0,239,0,255,128,243,192,225,192,225,192,225,192,243,192,255,128,239,0,224,0,224,0,//p//112</v>
      </c>
      <c r="BG28" t="s">
        <v>4</v>
      </c>
    </row>
    <row r="29" spans="1:79">
      <c r="A29" s="2" t="str">
        <f>$B$25</f>
        <v xml:space="preserve"> 0x0A, 0x00, 0x00, 0x00, 0x00, 0x00, 0x00, 0x00, 0x00, 0xEF, 0x00, 0xFF, 0x80, 0xF3, 0xC0, 0xE1, 0xC0, 0xE1, 0xC0, 0xE1, 0xC0, 0xE1, 0xC0, 0xE1, 0xC0, 0xE1, 0xC0, 0xE1, 0xC0, 0xE1, 0xC0, 0xE1, 0xC0,//n//110</v>
      </c>
      <c r="E29" t="s">
        <v>3</v>
      </c>
      <c r="AB29" s="2" t="str">
        <f>$AC$25</f>
        <v xml:space="preserve"> 0x0A, 0x00, 0x00, 0x00, 0x00, 0x00, 0x00, 0x00, 0x00, 0x3F, 0x00, 0x7F, 0x80, 0xF3, 0xC0, 0xE1, 0xC0, 0xE1, 0xC0, 0xE1, 0xC0, 0xE1, 0xC0, 0xE1, 0xC0, 0xE1, 0xC0, 0xF3, 0xC0, 0x7F, 0x80, 0x3F, 0x00,//o//111</v>
      </c>
      <c r="AF29" t="s">
        <v>3</v>
      </c>
      <c r="BC29" s="2" t="str">
        <f>$BD$25</f>
        <v xml:space="preserve"> 0x0A, 0x00, 0x00, 0x00, 0x00, 0x00, 0x00, 0x00, 0x00, 0x00, 0x00, 0xEF, 0x00, 0xFF, 0x80, 0xF3, 0xC0, 0xE1, 0xC0, 0xE1, 0xC0, 0xE1, 0xC0, 0xF3, 0xC0, 0xFF, 0x80, 0xEF, 0x00, 0xE0, 0x00, 0xE0, 0x00,//p//112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18:N19 H8:L12 E5:N5 H13:K15 M8:N17 G8:G17 L13:L17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7 N18 M18:M19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24" priority="11" operator="greaterThan">
      <formula>1</formula>
    </cfRule>
  </conditionalFormatting>
  <conditionalFormatting sqref="AH6:AO7 AH18:AO19 AF5:AO5 AF6:AG20 AH8:AM17 AH20:AI20 AK20:AM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19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23" priority="6" operator="greaterThan">
      <formula>1</formula>
    </cfRule>
  </conditionalFormatting>
  <conditionalFormatting sqref="BI6:BP7 BI18:BP19 BJ8:BN12 BG5:BP5 BJ13:BM15 BI8:BI17 BI20 BG6:BH20 BJ16:BK17 BN13:BN17 BO8:BP17 BN20:BP20 BL16:BM16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22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33"/>
  <dimension ref="A4:CB29"/>
  <sheetViews>
    <sheetView workbookViewId="0">
      <selection activeCell="N31" sqref="N31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113</v>
      </c>
      <c r="Z4" t="s">
        <v>5</v>
      </c>
      <c r="AB4" s="3">
        <v>114</v>
      </c>
      <c r="BA4" t="s">
        <v>5</v>
      </c>
      <c r="BC4" s="3">
        <v>115</v>
      </c>
      <c r="CB4" t="s">
        <v>5</v>
      </c>
    </row>
    <row r="5" spans="1:80">
      <c r="A5" s="3" t="s">
        <v>281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282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283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0x3D,</v>
      </c>
      <c r="C9" t="str">
        <f t="shared" si="1"/>
        <v>61,</v>
      </c>
      <c r="D9" t="str">
        <f t="shared" si="2"/>
        <v>00111101</v>
      </c>
      <c r="E9">
        <v>0</v>
      </c>
      <c r="F9">
        <v>0</v>
      </c>
      <c r="G9">
        <v>1</v>
      </c>
      <c r="H9">
        <v>1</v>
      </c>
      <c r="I9">
        <v>1</v>
      </c>
      <c r="J9">
        <v>1</v>
      </c>
      <c r="K9">
        <v>0</v>
      </c>
      <c r="L9">
        <v>1</v>
      </c>
      <c r="M9">
        <v>1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11000000</v>
      </c>
      <c r="V9" t="str">
        <f t="shared" si="4"/>
        <v>192,</v>
      </c>
      <c r="W9" t="str">
        <f t="shared" si="5"/>
        <v xml:space="preserve"> 0xC0,</v>
      </c>
      <c r="X9" t="s">
        <v>0</v>
      </c>
      <c r="Y9" t="s">
        <v>1</v>
      </c>
      <c r="AC9" t="str">
        <f t="shared" si="6"/>
        <v xml:space="preserve"> 0xEE,</v>
      </c>
      <c r="AD9" t="str">
        <f t="shared" si="7"/>
        <v>238,</v>
      </c>
      <c r="AE9" t="str">
        <f t="shared" si="8"/>
        <v>11101110</v>
      </c>
      <c r="AF9">
        <v>1</v>
      </c>
      <c r="AG9">
        <v>1</v>
      </c>
      <c r="AH9">
        <v>1</v>
      </c>
      <c r="AI9">
        <v>0</v>
      </c>
      <c r="AJ9">
        <v>1</v>
      </c>
      <c r="AK9">
        <v>1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0x3F,</v>
      </c>
      <c r="BE9" t="str">
        <f t="shared" si="13"/>
        <v>63,</v>
      </c>
      <c r="BF9" t="str">
        <f t="shared" si="14"/>
        <v>00111111</v>
      </c>
      <c r="BG9">
        <v>0</v>
      </c>
      <c r="BH9">
        <v>0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0x7F,</v>
      </c>
      <c r="C10" t="str">
        <f t="shared" si="1"/>
        <v>127,</v>
      </c>
      <c r="D10" t="str">
        <f t="shared" si="2"/>
        <v>01111111</v>
      </c>
      <c r="E10">
        <v>0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11000000</v>
      </c>
      <c r="V10" t="str">
        <f t="shared" si="4"/>
        <v>192,</v>
      </c>
      <c r="W10" t="str">
        <f t="shared" si="5"/>
        <v xml:space="preserve"> 0xC0,</v>
      </c>
      <c r="X10" t="s">
        <v>0</v>
      </c>
      <c r="Y10" t="s">
        <v>1</v>
      </c>
      <c r="AC10" t="str">
        <f t="shared" si="6"/>
        <v xml:space="preserve"> 0xFE,</v>
      </c>
      <c r="AD10" t="str">
        <f t="shared" si="7"/>
        <v>254,</v>
      </c>
      <c r="AE10" t="str">
        <f t="shared" si="8"/>
        <v>11111110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0x7F,</v>
      </c>
      <c r="BE10" t="str">
        <f t="shared" si="13"/>
        <v>127,</v>
      </c>
      <c r="BF10" t="str">
        <f t="shared" si="14"/>
        <v>01111111</v>
      </c>
      <c r="BG10">
        <v>0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10000000</v>
      </c>
      <c r="BX10" t="str">
        <f t="shared" si="16"/>
        <v>128,</v>
      </c>
      <c r="BY10" t="str">
        <f t="shared" si="17"/>
        <v xml:space="preserve"> 0x80,</v>
      </c>
      <c r="BZ10" t="s">
        <v>0</v>
      </c>
      <c r="CA10" t="s">
        <v>1</v>
      </c>
    </row>
    <row r="11" spans="1:80">
      <c r="B11" t="str">
        <f t="shared" si="0"/>
        <v xml:space="preserve"> 0xF3,</v>
      </c>
      <c r="C11" t="str">
        <f t="shared" si="1"/>
        <v>243,</v>
      </c>
      <c r="D11" t="str">
        <f t="shared" si="2"/>
        <v>11110011</v>
      </c>
      <c r="E11">
        <v>1</v>
      </c>
      <c r="F11">
        <v>1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11000000</v>
      </c>
      <c r="V11" t="str">
        <f t="shared" si="4"/>
        <v>192,</v>
      </c>
      <c r="W11" t="str">
        <f t="shared" si="5"/>
        <v xml:space="preserve"> 0xC0,</v>
      </c>
      <c r="X11" t="s">
        <v>0</v>
      </c>
      <c r="Y11" t="s">
        <v>1</v>
      </c>
      <c r="AC11" t="str">
        <f t="shared" si="6"/>
        <v xml:space="preserve"> 0xF0,</v>
      </c>
      <c r="AD11" t="str">
        <f t="shared" si="7"/>
        <v>240,</v>
      </c>
      <c r="AE11" t="str">
        <f t="shared" si="8"/>
        <v>11110000</v>
      </c>
      <c r="AF11">
        <v>1</v>
      </c>
      <c r="AG11">
        <v>1</v>
      </c>
      <c r="AH11">
        <v>1</v>
      </c>
      <c r="AI11">
        <v>1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0xF3,</v>
      </c>
      <c r="BE11" t="str">
        <f t="shared" si="13"/>
        <v>243,</v>
      </c>
      <c r="BF11" t="str">
        <f t="shared" si="14"/>
        <v>11110011</v>
      </c>
      <c r="BG11">
        <v>1</v>
      </c>
      <c r="BH11">
        <v>1</v>
      </c>
      <c r="BI11">
        <v>1</v>
      </c>
      <c r="BJ11">
        <v>1</v>
      </c>
      <c r="BK11">
        <v>0</v>
      </c>
      <c r="BL11">
        <v>0</v>
      </c>
      <c r="BM11">
        <v>1</v>
      </c>
      <c r="BN11">
        <v>1</v>
      </c>
      <c r="BO11">
        <v>1</v>
      </c>
      <c r="BP11">
        <v>1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11000000</v>
      </c>
      <c r="BX11" t="str">
        <f t="shared" si="16"/>
        <v>192,</v>
      </c>
      <c r="BY11" t="str">
        <f t="shared" si="17"/>
        <v xml:space="preserve"> 0xC0,</v>
      </c>
      <c r="BZ11" t="s">
        <v>0</v>
      </c>
      <c r="CA11" t="s">
        <v>1</v>
      </c>
    </row>
    <row r="12" spans="1:80">
      <c r="B12" t="str">
        <f t="shared" si="0"/>
        <v xml:space="preserve"> 0xE1,</v>
      </c>
      <c r="C12" t="str">
        <f t="shared" si="1"/>
        <v>225,</v>
      </c>
      <c r="D12" t="str">
        <f t="shared" si="2"/>
        <v>11100001</v>
      </c>
      <c r="E12">
        <v>1</v>
      </c>
      <c r="F12">
        <v>1</v>
      </c>
      <c r="G12">
        <v>1</v>
      </c>
      <c r="H12">
        <v>0</v>
      </c>
      <c r="I12">
        <v>0</v>
      </c>
      <c r="J12">
        <v>0</v>
      </c>
      <c r="K12">
        <v>0</v>
      </c>
      <c r="L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0xE0,</v>
      </c>
      <c r="AD12" t="str">
        <f t="shared" si="7"/>
        <v>224,</v>
      </c>
      <c r="AE12" t="str">
        <f t="shared" si="8"/>
        <v>11100000</v>
      </c>
      <c r="AF12">
        <v>1</v>
      </c>
      <c r="AG12">
        <v>1</v>
      </c>
      <c r="AH12">
        <v>1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0xE1,</v>
      </c>
      <c r="BE12" t="str">
        <f t="shared" si="13"/>
        <v>225,</v>
      </c>
      <c r="BF12" t="str">
        <f t="shared" si="14"/>
        <v>11100001</v>
      </c>
      <c r="BG12">
        <v>1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0</v>
      </c>
      <c r="BN12">
        <v>1</v>
      </c>
      <c r="BO12">
        <v>1</v>
      </c>
      <c r="BP12">
        <v>1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11000000</v>
      </c>
      <c r="BX12" t="str">
        <f t="shared" si="16"/>
        <v>192,</v>
      </c>
      <c r="BY12" t="str">
        <f t="shared" si="17"/>
        <v xml:space="preserve"> 0xC0,</v>
      </c>
      <c r="BZ12" t="s">
        <v>0</v>
      </c>
      <c r="CA12" t="s">
        <v>1</v>
      </c>
    </row>
    <row r="13" spans="1:80">
      <c r="B13" t="str">
        <f t="shared" si="0"/>
        <v xml:space="preserve"> 0xE1,</v>
      </c>
      <c r="C13" t="str">
        <f t="shared" si="1"/>
        <v>225,</v>
      </c>
      <c r="D13" t="str">
        <f t="shared" si="2"/>
        <v>11100001</v>
      </c>
      <c r="E13">
        <v>1</v>
      </c>
      <c r="F13">
        <v>1</v>
      </c>
      <c r="G13">
        <v>1</v>
      </c>
      <c r="H13">
        <v>0</v>
      </c>
      <c r="I13">
        <v>0</v>
      </c>
      <c r="J13">
        <v>0</v>
      </c>
      <c r="K13">
        <v>0</v>
      </c>
      <c r="L13">
        <v>1</v>
      </c>
      <c r="M13">
        <v>1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11000000</v>
      </c>
      <c r="V13" t="str">
        <f t="shared" si="4"/>
        <v>192,</v>
      </c>
      <c r="W13" t="str">
        <f t="shared" si="5"/>
        <v xml:space="preserve"> 0xC0,</v>
      </c>
      <c r="X13" t="s">
        <v>0</v>
      </c>
      <c r="Y13" t="s">
        <v>1</v>
      </c>
      <c r="AC13" t="str">
        <f t="shared" si="6"/>
        <v xml:space="preserve"> 0xE0,</v>
      </c>
      <c r="AD13" t="str">
        <f t="shared" si="7"/>
        <v>224,</v>
      </c>
      <c r="AE13" t="str">
        <f t="shared" si="8"/>
        <v>11100000</v>
      </c>
      <c r="AF13">
        <v>1</v>
      </c>
      <c r="AG13">
        <v>1</v>
      </c>
      <c r="AH13">
        <v>1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0xF0,</v>
      </c>
      <c r="BE13" t="str">
        <f t="shared" si="13"/>
        <v>240,</v>
      </c>
      <c r="BF13" t="str">
        <f t="shared" si="14"/>
        <v>11110000</v>
      </c>
      <c r="BG13">
        <v>1</v>
      </c>
      <c r="BH13">
        <v>1</v>
      </c>
      <c r="BI13">
        <v>1</v>
      </c>
      <c r="BJ13">
        <v>1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0xE1,</v>
      </c>
      <c r="C14" t="str">
        <f t="shared" si="1"/>
        <v>225,</v>
      </c>
      <c r="D14" t="str">
        <f t="shared" si="2"/>
        <v>11100001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11000000</v>
      </c>
      <c r="V14" t="str">
        <f t="shared" si="4"/>
        <v>192,</v>
      </c>
      <c r="W14" t="str">
        <f t="shared" si="5"/>
        <v xml:space="preserve"> 0xC0,</v>
      </c>
      <c r="X14" t="s">
        <v>0</v>
      </c>
      <c r="Y14" t="s">
        <v>1</v>
      </c>
      <c r="AC14" t="str">
        <f t="shared" si="6"/>
        <v xml:space="preserve"> 0xE0,</v>
      </c>
      <c r="AD14" t="str">
        <f t="shared" si="7"/>
        <v>224,</v>
      </c>
      <c r="AE14" t="str">
        <f t="shared" si="8"/>
        <v>11100000</v>
      </c>
      <c r="AF14">
        <v>1</v>
      </c>
      <c r="AG14">
        <v>1</v>
      </c>
      <c r="AH14">
        <v>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0x7F,</v>
      </c>
      <c r="BE14" t="str">
        <f t="shared" si="13"/>
        <v>127,</v>
      </c>
      <c r="BF14" t="str">
        <f t="shared" si="14"/>
        <v>01111111</v>
      </c>
      <c r="BG14">
        <v>0</v>
      </c>
      <c r="BH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0xF3,</v>
      </c>
      <c r="C15" t="str">
        <f t="shared" si="1"/>
        <v>243,</v>
      </c>
      <c r="D15" t="str">
        <f t="shared" si="2"/>
        <v>11110011</v>
      </c>
      <c r="E15">
        <v>1</v>
      </c>
      <c r="F15">
        <v>1</v>
      </c>
      <c r="G15">
        <v>1</v>
      </c>
      <c r="H15">
        <v>1</v>
      </c>
      <c r="I15">
        <v>0</v>
      </c>
      <c r="J15">
        <v>0</v>
      </c>
      <c r="K15">
        <v>1</v>
      </c>
      <c r="L15">
        <v>1</v>
      </c>
      <c r="M15">
        <v>1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11000000</v>
      </c>
      <c r="V15" t="str">
        <f t="shared" si="4"/>
        <v>192,</v>
      </c>
      <c r="W15" t="str">
        <f t="shared" si="5"/>
        <v xml:space="preserve"> 0xC0,</v>
      </c>
      <c r="X15" t="s">
        <v>0</v>
      </c>
      <c r="Y15" t="s">
        <v>1</v>
      </c>
      <c r="AC15" t="str">
        <f t="shared" si="6"/>
        <v xml:space="preserve"> 0xE0,</v>
      </c>
      <c r="AD15" t="str">
        <f t="shared" si="7"/>
        <v>224,</v>
      </c>
      <c r="AE15" t="str">
        <f t="shared" si="8"/>
        <v>11100000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0x3F,</v>
      </c>
      <c r="BE15" t="str">
        <f t="shared" si="13"/>
        <v>63,</v>
      </c>
      <c r="BF15" t="str">
        <f t="shared" si="14"/>
        <v>00111111</v>
      </c>
      <c r="BG15">
        <v>0</v>
      </c>
      <c r="BH15">
        <v>0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10000000</v>
      </c>
      <c r="BX15" t="str">
        <f t="shared" si="16"/>
        <v>128,</v>
      </c>
      <c r="BY15" t="str">
        <f t="shared" si="17"/>
        <v xml:space="preserve"> 0x80,</v>
      </c>
      <c r="BZ15" t="s">
        <v>0</v>
      </c>
      <c r="CA15" t="s">
        <v>1</v>
      </c>
    </row>
    <row r="16" spans="1:80">
      <c r="B16" t="str">
        <f t="shared" si="0"/>
        <v xml:space="preserve"> 0x7F,</v>
      </c>
      <c r="C16" t="str">
        <f t="shared" si="1"/>
        <v>127,</v>
      </c>
      <c r="D16" t="str">
        <f t="shared" si="2"/>
        <v>01111111</v>
      </c>
      <c r="E16">
        <v>0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11000000</v>
      </c>
      <c r="V16" t="str">
        <f t="shared" si="4"/>
        <v>192,</v>
      </c>
      <c r="W16" t="str">
        <f t="shared" si="5"/>
        <v xml:space="preserve"> 0xC0,</v>
      </c>
      <c r="X16" t="s">
        <v>0</v>
      </c>
      <c r="Y16" t="s">
        <v>1</v>
      </c>
      <c r="AC16" t="str">
        <f t="shared" si="6"/>
        <v xml:space="preserve"> 0xE0,</v>
      </c>
      <c r="AD16" t="str">
        <f t="shared" si="7"/>
        <v>224,</v>
      </c>
      <c r="AE16" t="str">
        <f t="shared" si="8"/>
        <v>11100000</v>
      </c>
      <c r="AF16">
        <v>1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0x03,</v>
      </c>
      <c r="BE16" t="str">
        <f t="shared" si="13"/>
        <v>3,</v>
      </c>
      <c r="BF16" t="str">
        <f t="shared" si="14"/>
        <v>00000011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1</v>
      </c>
      <c r="BN16">
        <v>1</v>
      </c>
      <c r="BO16">
        <v>1</v>
      </c>
      <c r="BP16">
        <v>1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11000000</v>
      </c>
      <c r="BX16" t="str">
        <f t="shared" si="16"/>
        <v>192,</v>
      </c>
      <c r="BY16" t="str">
        <f t="shared" si="17"/>
        <v xml:space="preserve"> 0xC0,</v>
      </c>
      <c r="BZ16" t="s">
        <v>0</v>
      </c>
      <c r="CA16" t="s">
        <v>1</v>
      </c>
    </row>
    <row r="17" spans="1:79">
      <c r="B17" t="str">
        <f t="shared" si="0"/>
        <v xml:space="preserve"> 0x3D,</v>
      </c>
      <c r="C17" t="str">
        <f t="shared" si="1"/>
        <v>61,</v>
      </c>
      <c r="D17" t="str">
        <f t="shared" si="2"/>
        <v>00111101</v>
      </c>
      <c r="E17">
        <v>0</v>
      </c>
      <c r="F17">
        <v>0</v>
      </c>
      <c r="G17">
        <v>1</v>
      </c>
      <c r="H17">
        <v>1</v>
      </c>
      <c r="I17">
        <v>1</v>
      </c>
      <c r="J17">
        <v>1</v>
      </c>
      <c r="K17">
        <v>0</v>
      </c>
      <c r="L17">
        <v>1</v>
      </c>
      <c r="M17">
        <v>1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11000000</v>
      </c>
      <c r="V17" t="str">
        <f t="shared" si="4"/>
        <v>192,</v>
      </c>
      <c r="W17" t="str">
        <f t="shared" si="5"/>
        <v xml:space="preserve"> 0xC0,</v>
      </c>
      <c r="X17" t="s">
        <v>0</v>
      </c>
      <c r="Y17" t="s">
        <v>1</v>
      </c>
      <c r="AC17" t="str">
        <f t="shared" si="6"/>
        <v xml:space="preserve"> 0xE0,</v>
      </c>
      <c r="AD17" t="str">
        <f t="shared" si="7"/>
        <v>224,</v>
      </c>
      <c r="AE17" t="str">
        <f t="shared" si="8"/>
        <v>11100000</v>
      </c>
      <c r="AF17">
        <v>1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0xE1,</v>
      </c>
      <c r="BE17" t="str">
        <f t="shared" si="13"/>
        <v>225,</v>
      </c>
      <c r="BF17" t="str">
        <f t="shared" si="14"/>
        <v>11100001</v>
      </c>
      <c r="BG17">
        <v>1</v>
      </c>
      <c r="BH17">
        <v>1</v>
      </c>
      <c r="BI17">
        <v>1</v>
      </c>
      <c r="BJ17">
        <v>0</v>
      </c>
      <c r="BK17">
        <v>0</v>
      </c>
      <c r="BL17">
        <v>0</v>
      </c>
      <c r="BM17">
        <v>0</v>
      </c>
      <c r="BN17">
        <v>1</v>
      </c>
      <c r="BO17">
        <v>1</v>
      </c>
      <c r="BP17">
        <v>1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11000000</v>
      </c>
      <c r="BX17" t="str">
        <f t="shared" si="16"/>
        <v>192,</v>
      </c>
      <c r="BY17" t="str">
        <f t="shared" si="17"/>
        <v xml:space="preserve"> 0xC0,</v>
      </c>
      <c r="BZ17" t="s">
        <v>0</v>
      </c>
      <c r="CA17" t="s">
        <v>1</v>
      </c>
    </row>
    <row r="18" spans="1:79">
      <c r="B18" t="str">
        <f t="shared" si="0"/>
        <v xml:space="preserve"> 0x01,</v>
      </c>
      <c r="C18" t="str">
        <f t="shared" si="1"/>
        <v>1,</v>
      </c>
      <c r="D18" t="str">
        <f t="shared" si="2"/>
        <v>00000001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11000000</v>
      </c>
      <c r="V18" t="str">
        <f t="shared" si="4"/>
        <v>192,</v>
      </c>
      <c r="W18" t="str">
        <f t="shared" si="5"/>
        <v xml:space="preserve"> 0xC0,</v>
      </c>
      <c r="X18" t="s">
        <v>0</v>
      </c>
      <c r="Y18" t="s">
        <v>1</v>
      </c>
      <c r="AC18" t="str">
        <f t="shared" si="6"/>
        <v xml:space="preserve"> 0xE0,</v>
      </c>
      <c r="AD18" t="str">
        <f t="shared" si="7"/>
        <v>224,</v>
      </c>
      <c r="AE18" t="str">
        <f t="shared" si="8"/>
        <v>11100000</v>
      </c>
      <c r="AF18">
        <v>1</v>
      </c>
      <c r="AG18">
        <v>1</v>
      </c>
      <c r="AH18">
        <v>1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0xF3,</v>
      </c>
      <c r="BE18" t="str">
        <f t="shared" si="13"/>
        <v>243,</v>
      </c>
      <c r="BF18" t="str">
        <f t="shared" si="14"/>
        <v>11110011</v>
      </c>
      <c r="BG18">
        <v>1</v>
      </c>
      <c r="BH18">
        <v>1</v>
      </c>
      <c r="BI18">
        <v>1</v>
      </c>
      <c r="BJ18">
        <v>1</v>
      </c>
      <c r="BK18">
        <v>0</v>
      </c>
      <c r="BL18">
        <v>0</v>
      </c>
      <c r="BM18">
        <v>1</v>
      </c>
      <c r="BN18">
        <v>1</v>
      </c>
      <c r="BO18">
        <v>1</v>
      </c>
      <c r="BP18">
        <v>1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11000000</v>
      </c>
      <c r="BX18" t="str">
        <f t="shared" si="16"/>
        <v>192,</v>
      </c>
      <c r="BY18" t="str">
        <f t="shared" si="17"/>
        <v xml:space="preserve"> 0xC0,</v>
      </c>
      <c r="BZ18" t="s">
        <v>0</v>
      </c>
      <c r="CA18" t="s">
        <v>1</v>
      </c>
    </row>
    <row r="19" spans="1:79">
      <c r="B19" t="str">
        <f t="shared" si="0"/>
        <v xml:space="preserve"> 0x01,</v>
      </c>
      <c r="C19" t="str">
        <f t="shared" si="1"/>
        <v>1,</v>
      </c>
      <c r="D19" t="str">
        <f t="shared" si="2"/>
        <v>00000001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1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11000000</v>
      </c>
      <c r="V19" t="str">
        <f t="shared" si="4"/>
        <v>192,</v>
      </c>
      <c r="W19" t="str">
        <f t="shared" si="5"/>
        <v xml:space="preserve"> 0xC0,</v>
      </c>
      <c r="X19" t="s">
        <v>0</v>
      </c>
      <c r="Y19" t="s">
        <v>1</v>
      </c>
      <c r="AC19" t="str">
        <f t="shared" si="6"/>
        <v xml:space="preserve"> 0xE0,</v>
      </c>
      <c r="AD19" t="str">
        <f t="shared" si="7"/>
        <v>224,</v>
      </c>
      <c r="AE19" t="str">
        <f t="shared" si="8"/>
        <v>11100000</v>
      </c>
      <c r="AF19">
        <v>1</v>
      </c>
      <c r="AG19">
        <v>1</v>
      </c>
      <c r="AH19">
        <v>1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0x7F,</v>
      </c>
      <c r="BE19" t="str">
        <f t="shared" si="13"/>
        <v>127,</v>
      </c>
      <c r="BF19" t="str">
        <f t="shared" si="14"/>
        <v>01111111</v>
      </c>
      <c r="BG19">
        <v>0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10000000</v>
      </c>
      <c r="BX19" t="str">
        <f t="shared" si="16"/>
        <v>128,</v>
      </c>
      <c r="BY19" t="str">
        <f t="shared" si="17"/>
        <v xml:space="preserve"> 0x80,</v>
      </c>
      <c r="BZ19" t="s">
        <v>0</v>
      </c>
      <c r="CA19" t="s">
        <v>1</v>
      </c>
    </row>
    <row r="20" spans="1:79">
      <c r="B20" t="str">
        <f t="shared" si="0"/>
        <v xml:space="preserve"> 0x01,</v>
      </c>
      <c r="C20" t="str">
        <f t="shared" si="1"/>
        <v>1,</v>
      </c>
      <c r="D20" t="str">
        <f t="shared" si="2"/>
        <v>00000001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11000000</v>
      </c>
      <c r="V20" t="str">
        <f t="shared" si="4"/>
        <v>192,</v>
      </c>
      <c r="W20" t="str">
        <f t="shared" si="5"/>
        <v xml:space="preserve"> 0xC0,</v>
      </c>
      <c r="X20" t="s">
        <v>0</v>
      </c>
      <c r="Y20" t="s">
        <v>1</v>
      </c>
      <c r="AC20" t="str">
        <f t="shared" si="6"/>
        <v xml:space="preserve"> 0xE0,</v>
      </c>
      <c r="AD20" t="str">
        <f t="shared" si="7"/>
        <v>224,</v>
      </c>
      <c r="AE20" t="str">
        <f t="shared" si="8"/>
        <v>11100000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0x3F,</v>
      </c>
      <c r="BE20" t="str">
        <f t="shared" si="13"/>
        <v>63,</v>
      </c>
      <c r="BF20" t="str">
        <f t="shared" si="14"/>
        <v>00111111</v>
      </c>
      <c r="BG20">
        <v>0</v>
      </c>
      <c r="BH20">
        <v>0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10,</v>
      </c>
      <c r="V22" t="str">
        <f>Y20&amp;DEC2HEX(U22,2)&amp;X20</f>
        <v xml:space="preserve"> 0x0A,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10,</v>
      </c>
      <c r="BX22" t="str">
        <f>CA20&amp;DEC2HEX(BW22,2)&amp;BZ20</f>
        <v xml:space="preserve"> 0x0A,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10,0,0,0,0,0,0,0,0,61,192,127,192,243,192,225,192,225,192,225,192,243,192,127,192,61,192,1,192,1,192,1,192,//q//113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7,0,0,0,0,0,0,0,0,238,0,254,0,240,0,224,0,224,0,224,0,224,0,224,0,224,0,224,0,224,0,224,0,//r//114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10,0,0,0,0,0,0,0,0,63,0,127,128,243,192,225,192,240,0,127,0,63,128,3,192,225,192,243,192,127,128,63,0,//s//115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0x0A, 0x00, 0x00, 0x00, 0x00, 0x00, 0x00, 0x00, 0x00, 0x3D, 0xC0, 0x7F, 0xC0, 0xF3, 0xC0, 0xE1, 0xC0, 0xE1, 0xC0, 0xE1, 0xC0, 0xF3, 0xC0, 0x7F, 0xC0, 0x3D, 0xC0, 0x01, 0xC0, 0x01, 0xC0, 0x01, 0xC0,//q//113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0xEE, 0x00, 0xFE, 0x00, 0xF0, 0x00, 0xE0, 0x00, 0xE0, 0x00, 0xE0, 0x00, 0xE0, 0x00, 0xE0, 0x00, 0xE0, 0x00, 0xE0, 0x00, 0xE0, 0x00, 0xE0, 0x00,//r//114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0x0A, 0x00, 0x00, 0x00, 0x00, 0x00, 0x00, 0x00, 0x00, 0x3F, 0x00, 0x7F, 0x80, 0xF3, 0xC0, 0xE1, 0xC0, 0xF0, 0x00, 0x7F, 0x00, 0x3F, 0x80, 0x03, 0xC0, 0xE1, 0xC0, 0xF3, 0xC0, 0x7F, 0x80, 0x3F, 0x00,//s//115</v>
      </c>
    </row>
    <row r="28" spans="1:79">
      <c r="A28" s="1" t="str">
        <f>$B$24</f>
        <v>10,0,0,0,0,0,0,0,0,61,192,127,192,243,192,225,192,225,192,225,192,243,192,127,192,61,192,1,192,1,192,1,192,//q//113</v>
      </c>
      <c r="E28" t="s">
        <v>4</v>
      </c>
      <c r="AB28" s="1" t="str">
        <f>$AC$24</f>
        <v>7,0,0,0,0,0,0,0,0,238,0,254,0,240,0,224,0,224,0,224,0,224,0,224,0,224,0,224,0,224,0,224,0,//r//114</v>
      </c>
      <c r="AF28" t="s">
        <v>4</v>
      </c>
      <c r="BC28" s="1" t="str">
        <f>$BD$24</f>
        <v>10,0,0,0,0,0,0,0,0,63,0,127,128,243,192,225,192,240,0,127,0,63,128,3,192,225,192,243,192,127,128,63,0,//s//115</v>
      </c>
      <c r="BG28" t="s">
        <v>4</v>
      </c>
    </row>
    <row r="29" spans="1:79">
      <c r="A29" s="2" t="str">
        <f>$B$25</f>
        <v xml:space="preserve"> 0x0A, 0x00, 0x00, 0x00, 0x00, 0x00, 0x00, 0x00, 0x00, 0x3D, 0xC0, 0x7F, 0xC0, 0xF3, 0xC0, 0xE1, 0xC0, 0xE1, 0xC0, 0xE1, 0xC0, 0xF3, 0xC0, 0x7F, 0xC0, 0x3D, 0xC0, 0x01, 0xC0, 0x01, 0xC0, 0x01, 0xC0,//q//113</v>
      </c>
      <c r="E29" t="s">
        <v>3</v>
      </c>
      <c r="AB29" s="2" t="str">
        <f>$AC$25</f>
        <v xml:space="preserve"> 0x07, 0x00, 0x00, 0x00, 0x00, 0x00, 0x00, 0x00, 0x00, 0xEE, 0x00, 0xFE, 0x00, 0xF0, 0x00, 0xE0, 0x00, 0xE0, 0x00, 0xE0, 0x00, 0xE0, 0x00, 0xE0, 0x00, 0xE0, 0x00, 0xE0, 0x00, 0xE0, 0x00, 0xE0, 0x00,//r//114</v>
      </c>
      <c r="AF29" t="s">
        <v>3</v>
      </c>
      <c r="BC29" s="2" t="str">
        <f>$BD$25</f>
        <v xml:space="preserve"> 0x0A, 0x00, 0x00, 0x00, 0x00, 0x00, 0x00, 0x00, 0x00, 0x3F, 0x00, 0x7F, 0x80, 0xF3, 0xC0, 0xE1, 0xC0, 0xF0, 0x00, 0x7F, 0x00, 0x3F, 0x80, 0x03, 0xC0, 0xE1, 0xC0, 0xF3, 0xC0, 0x7F, 0x80, 0x3F, 0x00,//s//115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18:N19 H8:L12 E5:N5 H13:K15 M8:N17 G8:G17 L13:L17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7 N18 M18:M19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21" priority="11" operator="greaterThan">
      <formula>1</formula>
    </cfRule>
  </conditionalFormatting>
  <conditionalFormatting sqref="AH6:AO7 AH18:AO19 AF5:AO5 AF6:AG20 AH8:AM17 AH20:AI20 AK20:AM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19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20" priority="6" operator="greaterThan">
      <formula>1</formula>
    </cfRule>
  </conditionalFormatting>
  <conditionalFormatting sqref="BI6:BP7 BI18:BP19 BJ8:BN12 BG5:BP5 BJ13:BM15 BI8:BI17 BI20 BG6:BH20 BJ16:BK17 BN13:BN17 BO8:BP17 BN20:BP20 BL16:BM16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19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31"/>
  <dimension ref="A4:CB29"/>
  <sheetViews>
    <sheetView workbookViewId="0">
      <selection activeCell="O28" sqref="O28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116</v>
      </c>
      <c r="Z4" t="s">
        <v>5</v>
      </c>
      <c r="AB4" s="3">
        <v>117</v>
      </c>
      <c r="BA4" t="s">
        <v>5</v>
      </c>
      <c r="BC4" s="3">
        <v>118</v>
      </c>
      <c r="CB4" t="s">
        <v>5</v>
      </c>
    </row>
    <row r="5" spans="1:80">
      <c r="A5" s="3" t="s">
        <v>284</v>
      </c>
      <c r="B5" t="str">
        <f>Z5&amp;Y5&amp;BIN2HEX(D5,2)&amp;X5</f>
        <v xml:space="preserve"> 0x08,</v>
      </c>
      <c r="C5" t="str">
        <f>Z5&amp;BIN2DEC(D5)&amp;X5</f>
        <v>8,</v>
      </c>
      <c r="D5" t="str">
        <f>E5&amp;F5&amp;G5&amp;H5&amp;I5&amp;J5&amp;K5&amp;L5</f>
        <v>00001000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285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286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0x18,</v>
      </c>
      <c r="C6" t="str">
        <f t="shared" ref="C6:C20" si="1">Z6&amp;BIN2DEC(D6)&amp;X6</f>
        <v>24,</v>
      </c>
      <c r="D6" t="str">
        <f t="shared" ref="D6:D20" si="2">E6&amp;F6&amp;G6&amp;H6&amp;I6&amp;J6&amp;K6&amp;L6</f>
        <v>00011000</v>
      </c>
      <c r="E6">
        <v>0</v>
      </c>
      <c r="F6">
        <v>0</v>
      </c>
      <c r="G6">
        <v>0</v>
      </c>
      <c r="H6">
        <v>1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0x38,</v>
      </c>
      <c r="C7" t="str">
        <f t="shared" si="1"/>
        <v>56,</v>
      </c>
      <c r="D7" t="str">
        <f t="shared" si="2"/>
        <v>00111000</v>
      </c>
      <c r="E7">
        <v>0</v>
      </c>
      <c r="F7">
        <v>0</v>
      </c>
      <c r="G7">
        <v>1</v>
      </c>
      <c r="H7">
        <v>1</v>
      </c>
      <c r="I7">
        <v>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0x38,</v>
      </c>
      <c r="C8" t="str">
        <f t="shared" si="1"/>
        <v>56,</v>
      </c>
      <c r="D8" t="str">
        <f t="shared" si="2"/>
        <v>00111000</v>
      </c>
      <c r="E8">
        <v>0</v>
      </c>
      <c r="F8">
        <v>0</v>
      </c>
      <c r="G8">
        <v>1</v>
      </c>
      <c r="H8">
        <v>1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0xFE,</v>
      </c>
      <c r="C9" t="str">
        <f t="shared" si="1"/>
        <v>254,</v>
      </c>
      <c r="D9" t="str">
        <f t="shared" si="2"/>
        <v>11111110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0xE1,</v>
      </c>
      <c r="AD9" t="str">
        <f t="shared" si="7"/>
        <v>225,</v>
      </c>
      <c r="AE9" t="str">
        <f t="shared" si="8"/>
        <v>11100001</v>
      </c>
      <c r="AF9">
        <v>1</v>
      </c>
      <c r="AG9">
        <v>1</v>
      </c>
      <c r="AH9">
        <v>1</v>
      </c>
      <c r="AI9">
        <v>0</v>
      </c>
      <c r="AJ9">
        <v>0</v>
      </c>
      <c r="AK9">
        <v>0</v>
      </c>
      <c r="AL9">
        <v>0</v>
      </c>
      <c r="AM9">
        <v>1</v>
      </c>
      <c r="AN9">
        <v>1</v>
      </c>
      <c r="AO9">
        <v>1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11000000</v>
      </c>
      <c r="AW9" t="str">
        <f t="shared" si="10"/>
        <v>192,</v>
      </c>
      <c r="AX9" t="str">
        <f t="shared" si="11"/>
        <v xml:space="preserve"> 0xC0,</v>
      </c>
      <c r="AY9" t="s">
        <v>0</v>
      </c>
      <c r="AZ9" t="s">
        <v>1</v>
      </c>
      <c r="BD9" t="str">
        <f t="shared" si="12"/>
        <v xml:space="preserve"> 0xE1,</v>
      </c>
      <c r="BE9" t="str">
        <f t="shared" si="13"/>
        <v>225,</v>
      </c>
      <c r="BF9" t="str">
        <f t="shared" si="14"/>
        <v>11100001</v>
      </c>
      <c r="BG9">
        <v>1</v>
      </c>
      <c r="BH9">
        <v>1</v>
      </c>
      <c r="BI9">
        <v>1</v>
      </c>
      <c r="BJ9">
        <v>0</v>
      </c>
      <c r="BK9">
        <v>0</v>
      </c>
      <c r="BL9">
        <v>0</v>
      </c>
      <c r="BM9">
        <v>0</v>
      </c>
      <c r="BN9">
        <v>1</v>
      </c>
      <c r="BO9">
        <v>1</v>
      </c>
      <c r="BP9">
        <v>1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11000000</v>
      </c>
      <c r="BX9" t="str">
        <f t="shared" si="16"/>
        <v>192,</v>
      </c>
      <c r="BY9" t="str">
        <f t="shared" si="17"/>
        <v xml:space="preserve"> 0xC0,</v>
      </c>
      <c r="BZ9" t="s">
        <v>0</v>
      </c>
      <c r="CA9" t="s">
        <v>1</v>
      </c>
    </row>
    <row r="10" spans="1:80">
      <c r="B10" t="str">
        <f t="shared" si="0"/>
        <v xml:space="preserve"> 0xFE,</v>
      </c>
      <c r="C10" t="str">
        <f t="shared" si="1"/>
        <v>254,</v>
      </c>
      <c r="D10" t="str">
        <f t="shared" si="2"/>
        <v>11111110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0xE1,</v>
      </c>
      <c r="AD10" t="str">
        <f t="shared" si="7"/>
        <v>225,</v>
      </c>
      <c r="AE10" t="str">
        <f t="shared" si="8"/>
        <v>11100001</v>
      </c>
      <c r="AF10">
        <v>1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1</v>
      </c>
      <c r="AN10">
        <v>1</v>
      </c>
      <c r="AO10">
        <v>1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11000000</v>
      </c>
      <c r="AW10" t="str">
        <f t="shared" si="10"/>
        <v>192,</v>
      </c>
      <c r="AX10" t="str">
        <f t="shared" si="11"/>
        <v xml:space="preserve"> 0xC0,</v>
      </c>
      <c r="AY10" t="s">
        <v>0</v>
      </c>
      <c r="AZ10" t="s">
        <v>1</v>
      </c>
      <c r="BD10" t="str">
        <f t="shared" si="12"/>
        <v xml:space="preserve"> 0xE1,</v>
      </c>
      <c r="BE10" t="str">
        <f t="shared" si="13"/>
        <v>225,</v>
      </c>
      <c r="BF10" t="str">
        <f t="shared" si="14"/>
        <v>11100001</v>
      </c>
      <c r="BG10">
        <v>1</v>
      </c>
      <c r="BH10">
        <v>1</v>
      </c>
      <c r="BI10">
        <v>1</v>
      </c>
      <c r="BJ10">
        <v>0</v>
      </c>
      <c r="BK10">
        <v>0</v>
      </c>
      <c r="BL10">
        <v>0</v>
      </c>
      <c r="BM10">
        <v>0</v>
      </c>
      <c r="BN10">
        <v>1</v>
      </c>
      <c r="BO10">
        <v>1</v>
      </c>
      <c r="BP10">
        <v>1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11000000</v>
      </c>
      <c r="BX10" t="str">
        <f t="shared" si="16"/>
        <v>192,</v>
      </c>
      <c r="BY10" t="str">
        <f t="shared" si="17"/>
        <v xml:space="preserve"> 0xC0,</v>
      </c>
      <c r="BZ10" t="s">
        <v>0</v>
      </c>
      <c r="CA10" t="s">
        <v>1</v>
      </c>
    </row>
    <row r="11" spans="1:80">
      <c r="B11" t="str">
        <f t="shared" si="0"/>
        <v xml:space="preserve"> 0x38,</v>
      </c>
      <c r="C11" t="str">
        <f t="shared" si="1"/>
        <v>56,</v>
      </c>
      <c r="D11" t="str">
        <f t="shared" si="2"/>
        <v>00111000</v>
      </c>
      <c r="E11">
        <v>0</v>
      </c>
      <c r="F11">
        <v>0</v>
      </c>
      <c r="G11">
        <v>1</v>
      </c>
      <c r="H11">
        <v>1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0xE1,</v>
      </c>
      <c r="AD11" t="str">
        <f t="shared" si="7"/>
        <v>225,</v>
      </c>
      <c r="AE11" t="str">
        <f t="shared" si="8"/>
        <v>11100001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1</v>
      </c>
      <c r="AO11">
        <v>1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11000000</v>
      </c>
      <c r="AW11" t="str">
        <f t="shared" si="10"/>
        <v>192,</v>
      </c>
      <c r="AX11" t="str">
        <f t="shared" si="11"/>
        <v xml:space="preserve"> 0xC0,</v>
      </c>
      <c r="AY11" t="s">
        <v>0</v>
      </c>
      <c r="AZ11" t="s">
        <v>1</v>
      </c>
      <c r="BD11" t="str">
        <f t="shared" si="12"/>
        <v xml:space="preserve"> 0xE1,</v>
      </c>
      <c r="BE11" t="str">
        <f t="shared" si="13"/>
        <v>225,</v>
      </c>
      <c r="BF11" t="str">
        <f t="shared" si="14"/>
        <v>11100001</v>
      </c>
      <c r="BG11">
        <v>1</v>
      </c>
      <c r="BH11">
        <v>1</v>
      </c>
      <c r="BI11">
        <v>1</v>
      </c>
      <c r="BJ11">
        <v>0</v>
      </c>
      <c r="BK11">
        <v>0</v>
      </c>
      <c r="BL11">
        <v>0</v>
      </c>
      <c r="BM11">
        <v>0</v>
      </c>
      <c r="BN11">
        <v>1</v>
      </c>
      <c r="BO11">
        <v>1</v>
      </c>
      <c r="BP11">
        <v>1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11000000</v>
      </c>
      <c r="BX11" t="str">
        <f t="shared" si="16"/>
        <v>192,</v>
      </c>
      <c r="BY11" t="str">
        <f t="shared" si="17"/>
        <v xml:space="preserve"> 0xC0,</v>
      </c>
      <c r="BZ11" t="s">
        <v>0</v>
      </c>
      <c r="CA11" t="s">
        <v>1</v>
      </c>
    </row>
    <row r="12" spans="1:80">
      <c r="B12" t="str">
        <f t="shared" si="0"/>
        <v xml:space="preserve"> 0x38,</v>
      </c>
      <c r="C12" t="str">
        <f t="shared" si="1"/>
        <v>56,</v>
      </c>
      <c r="D12" t="str">
        <f t="shared" si="2"/>
        <v>00111000</v>
      </c>
      <c r="E12">
        <v>0</v>
      </c>
      <c r="F12">
        <v>0</v>
      </c>
      <c r="G12">
        <v>1</v>
      </c>
      <c r="H12">
        <v>1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0xE1,</v>
      </c>
      <c r="AD12" t="str">
        <f t="shared" si="7"/>
        <v>225,</v>
      </c>
      <c r="AE12" t="str">
        <f t="shared" si="8"/>
        <v>11100001</v>
      </c>
      <c r="AF12">
        <v>1</v>
      </c>
      <c r="AG12">
        <v>1</v>
      </c>
      <c r="AH12">
        <v>1</v>
      </c>
      <c r="AI12">
        <v>0</v>
      </c>
      <c r="AJ12">
        <v>0</v>
      </c>
      <c r="AK12">
        <v>0</v>
      </c>
      <c r="AL12">
        <v>0</v>
      </c>
      <c r="AM12">
        <v>1</v>
      </c>
      <c r="AN12">
        <v>1</v>
      </c>
      <c r="AO12">
        <v>1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11000000</v>
      </c>
      <c r="AW12" t="str">
        <f t="shared" si="10"/>
        <v>192,</v>
      </c>
      <c r="AX12" t="str">
        <f t="shared" si="11"/>
        <v xml:space="preserve"> 0xC0,</v>
      </c>
      <c r="AY12" t="s">
        <v>0</v>
      </c>
      <c r="AZ12" t="s">
        <v>1</v>
      </c>
      <c r="BD12" t="str">
        <f t="shared" si="12"/>
        <v xml:space="preserve"> 0xE1,</v>
      </c>
      <c r="BE12" t="str">
        <f t="shared" si="13"/>
        <v>225,</v>
      </c>
      <c r="BF12" t="str">
        <f t="shared" si="14"/>
        <v>11100001</v>
      </c>
      <c r="BG12">
        <v>1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0</v>
      </c>
      <c r="BN12">
        <v>1</v>
      </c>
      <c r="BO12">
        <v>1</v>
      </c>
      <c r="BP12">
        <v>1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11000000</v>
      </c>
      <c r="BX12" t="str">
        <f t="shared" si="16"/>
        <v>192,</v>
      </c>
      <c r="BY12" t="str">
        <f t="shared" si="17"/>
        <v xml:space="preserve"> 0xC0,</v>
      </c>
      <c r="BZ12" t="s">
        <v>0</v>
      </c>
      <c r="CA12" t="s">
        <v>1</v>
      </c>
    </row>
    <row r="13" spans="1:80">
      <c r="B13" t="str">
        <f t="shared" si="0"/>
        <v xml:space="preserve"> 0x38,</v>
      </c>
      <c r="C13" t="str">
        <f t="shared" si="1"/>
        <v>56,</v>
      </c>
      <c r="D13" t="str">
        <f t="shared" si="2"/>
        <v>00111000</v>
      </c>
      <c r="E13">
        <v>0</v>
      </c>
      <c r="F13">
        <v>0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0xE1,</v>
      </c>
      <c r="AD13" t="str">
        <f t="shared" si="7"/>
        <v>225,</v>
      </c>
      <c r="AE13" t="str">
        <f t="shared" si="8"/>
        <v>11100001</v>
      </c>
      <c r="AF13">
        <v>1</v>
      </c>
      <c r="AG13">
        <v>1</v>
      </c>
      <c r="AH13">
        <v>1</v>
      </c>
      <c r="AI13">
        <v>0</v>
      </c>
      <c r="AJ13">
        <v>0</v>
      </c>
      <c r="AK13">
        <v>0</v>
      </c>
      <c r="AL13">
        <v>0</v>
      </c>
      <c r="AM13">
        <v>1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11000000</v>
      </c>
      <c r="AW13" t="str">
        <f t="shared" si="10"/>
        <v>192,</v>
      </c>
      <c r="AX13" t="str">
        <f t="shared" si="11"/>
        <v xml:space="preserve"> 0xC0,</v>
      </c>
      <c r="AY13" t="s">
        <v>0</v>
      </c>
      <c r="AZ13" t="s">
        <v>1</v>
      </c>
      <c r="BD13" t="str">
        <f t="shared" si="12"/>
        <v xml:space="preserve"> 0x73,</v>
      </c>
      <c r="BE13" t="str">
        <f t="shared" si="13"/>
        <v>115,</v>
      </c>
      <c r="BF13" t="str">
        <f t="shared" si="14"/>
        <v>01110011</v>
      </c>
      <c r="BG13">
        <v>0</v>
      </c>
      <c r="BH13">
        <v>1</v>
      </c>
      <c r="BI13">
        <v>1</v>
      </c>
      <c r="BJ13">
        <v>1</v>
      </c>
      <c r="BK13">
        <v>0</v>
      </c>
      <c r="BL13">
        <v>0</v>
      </c>
      <c r="BM13">
        <v>1</v>
      </c>
      <c r="BN13">
        <v>1</v>
      </c>
      <c r="BO13">
        <v>1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10000000</v>
      </c>
      <c r="BX13" t="str">
        <f t="shared" si="16"/>
        <v>128,</v>
      </c>
      <c r="BY13" t="str">
        <f t="shared" si="17"/>
        <v xml:space="preserve"> 0x80,</v>
      </c>
      <c r="BZ13" t="s">
        <v>0</v>
      </c>
      <c r="CA13" t="s">
        <v>1</v>
      </c>
    </row>
    <row r="14" spans="1:80">
      <c r="B14" t="str">
        <f t="shared" si="0"/>
        <v xml:space="preserve"> 0x38,</v>
      </c>
      <c r="C14" t="str">
        <f t="shared" si="1"/>
        <v>56,</v>
      </c>
      <c r="D14" t="str">
        <f t="shared" si="2"/>
        <v>00111000</v>
      </c>
      <c r="E14">
        <v>0</v>
      </c>
      <c r="F14">
        <v>0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0xE1,</v>
      </c>
      <c r="AD14" t="str">
        <f t="shared" si="7"/>
        <v>225,</v>
      </c>
      <c r="AE14" t="str">
        <f t="shared" si="8"/>
        <v>11100001</v>
      </c>
      <c r="AF14">
        <v>1</v>
      </c>
      <c r="AG14">
        <v>1</v>
      </c>
      <c r="AH14">
        <v>1</v>
      </c>
      <c r="AI14">
        <v>0</v>
      </c>
      <c r="AJ14">
        <v>0</v>
      </c>
      <c r="AK14">
        <v>0</v>
      </c>
      <c r="AL14">
        <v>0</v>
      </c>
      <c r="AM14">
        <v>1</v>
      </c>
      <c r="AN14">
        <v>1</v>
      </c>
      <c r="AO14">
        <v>1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11000000</v>
      </c>
      <c r="AW14" t="str">
        <f t="shared" si="10"/>
        <v>192,</v>
      </c>
      <c r="AX14" t="str">
        <f t="shared" si="11"/>
        <v xml:space="preserve"> 0xC0,</v>
      </c>
      <c r="AY14" t="s">
        <v>0</v>
      </c>
      <c r="AZ14" t="s">
        <v>1</v>
      </c>
      <c r="BD14" t="str">
        <f t="shared" si="12"/>
        <v xml:space="preserve"> 0x73,</v>
      </c>
      <c r="BE14" t="str">
        <f t="shared" si="13"/>
        <v>115,</v>
      </c>
      <c r="BF14" t="str">
        <f t="shared" si="14"/>
        <v>01110011</v>
      </c>
      <c r="BG14">
        <v>0</v>
      </c>
      <c r="BH14">
        <v>1</v>
      </c>
      <c r="BI14">
        <v>1</v>
      </c>
      <c r="BJ14">
        <v>1</v>
      </c>
      <c r="BK14">
        <v>0</v>
      </c>
      <c r="BL14">
        <v>0</v>
      </c>
      <c r="BM14">
        <v>1</v>
      </c>
      <c r="BN14">
        <v>1</v>
      </c>
      <c r="BO14">
        <v>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10000000</v>
      </c>
      <c r="BX14" t="str">
        <f t="shared" si="16"/>
        <v>128,</v>
      </c>
      <c r="BY14" t="str">
        <f t="shared" si="17"/>
        <v xml:space="preserve"> 0x80,</v>
      </c>
      <c r="BZ14" t="s">
        <v>0</v>
      </c>
      <c r="CA14" t="s">
        <v>1</v>
      </c>
    </row>
    <row r="15" spans="1:80">
      <c r="B15" t="str">
        <f t="shared" si="0"/>
        <v xml:space="preserve"> 0x38,</v>
      </c>
      <c r="C15" t="str">
        <f t="shared" si="1"/>
        <v>56,</v>
      </c>
      <c r="D15" t="str">
        <f t="shared" si="2"/>
        <v>00111000</v>
      </c>
      <c r="E15">
        <v>0</v>
      </c>
      <c r="F15">
        <v>0</v>
      </c>
      <c r="G15">
        <v>1</v>
      </c>
      <c r="H15">
        <v>1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0xE1,</v>
      </c>
      <c r="AD15" t="str">
        <f t="shared" si="7"/>
        <v>225,</v>
      </c>
      <c r="AE15" t="str">
        <f t="shared" si="8"/>
        <v>11100001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0</v>
      </c>
      <c r="AL15">
        <v>0</v>
      </c>
      <c r="AM15">
        <v>1</v>
      </c>
      <c r="AN15">
        <v>1</v>
      </c>
      <c r="AO15">
        <v>1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11000000</v>
      </c>
      <c r="AW15" t="str">
        <f t="shared" si="10"/>
        <v>192,</v>
      </c>
      <c r="AX15" t="str">
        <f t="shared" si="11"/>
        <v xml:space="preserve"> 0xC0,</v>
      </c>
      <c r="AY15" t="s">
        <v>0</v>
      </c>
      <c r="AZ15" t="s">
        <v>1</v>
      </c>
      <c r="BD15" t="str">
        <f t="shared" si="12"/>
        <v xml:space="preserve"> 0x33,</v>
      </c>
      <c r="BE15" t="str">
        <f t="shared" si="13"/>
        <v>51,</v>
      </c>
      <c r="BF15" t="str">
        <f t="shared" si="14"/>
        <v>00110011</v>
      </c>
      <c r="BG15">
        <v>0</v>
      </c>
      <c r="BH15">
        <v>0</v>
      </c>
      <c r="BI15">
        <v>1</v>
      </c>
      <c r="BJ15">
        <v>1</v>
      </c>
      <c r="BK15">
        <v>0</v>
      </c>
      <c r="BL15">
        <v>0</v>
      </c>
      <c r="BM15">
        <v>1</v>
      </c>
      <c r="BN15">
        <v>1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0x38,</v>
      </c>
      <c r="C16" t="str">
        <f t="shared" si="1"/>
        <v>56,</v>
      </c>
      <c r="D16" t="str">
        <f t="shared" si="2"/>
        <v>00111000</v>
      </c>
      <c r="E16">
        <v>0</v>
      </c>
      <c r="F16">
        <v>0</v>
      </c>
      <c r="G16">
        <v>1</v>
      </c>
      <c r="H16">
        <v>1</v>
      </c>
      <c r="I16">
        <v>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0xE1,</v>
      </c>
      <c r="AD16" t="str">
        <f t="shared" si="7"/>
        <v>225,</v>
      </c>
      <c r="AE16" t="str">
        <f t="shared" si="8"/>
        <v>11100001</v>
      </c>
      <c r="AF16">
        <v>1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0</v>
      </c>
      <c r="AM16">
        <v>1</v>
      </c>
      <c r="AN16">
        <v>1</v>
      </c>
      <c r="AO16">
        <v>1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11000000</v>
      </c>
      <c r="AW16" t="str">
        <f t="shared" si="10"/>
        <v>192,</v>
      </c>
      <c r="AX16" t="str">
        <f t="shared" si="11"/>
        <v xml:space="preserve"> 0xC0,</v>
      </c>
      <c r="AY16" t="s">
        <v>0</v>
      </c>
      <c r="AZ16" t="s">
        <v>1</v>
      </c>
      <c r="BD16" t="str">
        <f t="shared" si="12"/>
        <v xml:space="preserve"> 0x3F,</v>
      </c>
      <c r="BE16" t="str">
        <f t="shared" si="13"/>
        <v>63,</v>
      </c>
      <c r="BF16" t="str">
        <f t="shared" si="14"/>
        <v>00111111</v>
      </c>
      <c r="BG16">
        <v>0</v>
      </c>
      <c r="BH16">
        <v>0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0x38,</v>
      </c>
      <c r="C17" t="str">
        <f t="shared" si="1"/>
        <v>56,</v>
      </c>
      <c r="D17" t="str">
        <f t="shared" si="2"/>
        <v>00111000</v>
      </c>
      <c r="E17">
        <v>0</v>
      </c>
      <c r="F17">
        <v>0</v>
      </c>
      <c r="G17">
        <v>1</v>
      </c>
      <c r="H17">
        <v>1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0xE1,</v>
      </c>
      <c r="AD17" t="str">
        <f t="shared" si="7"/>
        <v>225,</v>
      </c>
      <c r="AE17" t="str">
        <f t="shared" si="8"/>
        <v>11100001</v>
      </c>
      <c r="AF17">
        <v>1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1</v>
      </c>
      <c r="AN17">
        <v>1</v>
      </c>
      <c r="AO17">
        <v>1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11000000</v>
      </c>
      <c r="AW17" t="str">
        <f t="shared" si="10"/>
        <v>192,</v>
      </c>
      <c r="AX17" t="str">
        <f t="shared" si="11"/>
        <v xml:space="preserve"> 0xC0,</v>
      </c>
      <c r="AY17" t="s">
        <v>0</v>
      </c>
      <c r="AZ17" t="s">
        <v>1</v>
      </c>
      <c r="BD17" t="str">
        <f t="shared" si="12"/>
        <v xml:space="preserve"> 0x1E,</v>
      </c>
      <c r="BE17" t="str">
        <f t="shared" si="13"/>
        <v>30,</v>
      </c>
      <c r="BF17" t="str">
        <f t="shared" si="14"/>
        <v>00011110</v>
      </c>
      <c r="BG17">
        <v>0</v>
      </c>
      <c r="BH17">
        <v>0</v>
      </c>
      <c r="BI17">
        <v>0</v>
      </c>
      <c r="BJ17">
        <v>1</v>
      </c>
      <c r="BK17">
        <v>1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0x38,</v>
      </c>
      <c r="C18" t="str">
        <f t="shared" si="1"/>
        <v>56,</v>
      </c>
      <c r="D18" t="str">
        <f t="shared" si="2"/>
        <v>00111000</v>
      </c>
      <c r="E18">
        <v>0</v>
      </c>
      <c r="F18">
        <v>0</v>
      </c>
      <c r="G18">
        <v>1</v>
      </c>
      <c r="H18">
        <v>1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0xF3,</v>
      </c>
      <c r="AD18" t="str">
        <f t="shared" si="7"/>
        <v>243,</v>
      </c>
      <c r="AE18" t="str">
        <f t="shared" si="8"/>
        <v>11110011</v>
      </c>
      <c r="AF18">
        <v>1</v>
      </c>
      <c r="AG18">
        <v>1</v>
      </c>
      <c r="AH18">
        <v>1</v>
      </c>
      <c r="AI18">
        <v>1</v>
      </c>
      <c r="AJ18">
        <v>0</v>
      </c>
      <c r="AK18">
        <v>0</v>
      </c>
      <c r="AL18">
        <v>1</v>
      </c>
      <c r="AM18">
        <v>1</v>
      </c>
      <c r="AN18">
        <v>1</v>
      </c>
      <c r="AO18">
        <v>1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11000000</v>
      </c>
      <c r="AW18" t="str">
        <f t="shared" si="10"/>
        <v>192,</v>
      </c>
      <c r="AX18" t="str">
        <f t="shared" si="11"/>
        <v xml:space="preserve"> 0xC0,</v>
      </c>
      <c r="AY18" t="s">
        <v>0</v>
      </c>
      <c r="AZ18" t="s">
        <v>1</v>
      </c>
      <c r="BD18" t="str">
        <f t="shared" si="12"/>
        <v xml:space="preserve"> 0x1E,</v>
      </c>
      <c r="BE18" t="str">
        <f t="shared" si="13"/>
        <v>30,</v>
      </c>
      <c r="BF18" t="str">
        <f t="shared" si="14"/>
        <v>00011110</v>
      </c>
      <c r="BG18">
        <v>0</v>
      </c>
      <c r="BH18">
        <v>0</v>
      </c>
      <c r="BI18">
        <v>0</v>
      </c>
      <c r="BJ18">
        <v>1</v>
      </c>
      <c r="BK18">
        <v>1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0x1E,</v>
      </c>
      <c r="C19" t="str">
        <f t="shared" si="1"/>
        <v>30,</v>
      </c>
      <c r="D19" t="str">
        <f t="shared" si="2"/>
        <v>00011110</v>
      </c>
      <c r="E19">
        <v>0</v>
      </c>
      <c r="F19">
        <v>0</v>
      </c>
      <c r="G19">
        <v>0</v>
      </c>
      <c r="H19">
        <v>1</v>
      </c>
      <c r="I19">
        <v>1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0x7F,</v>
      </c>
      <c r="AD19" t="str">
        <f t="shared" si="7"/>
        <v>127,</v>
      </c>
      <c r="AE19" t="str">
        <f t="shared" si="8"/>
        <v>01111111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11000000</v>
      </c>
      <c r="AW19" t="str">
        <f t="shared" si="10"/>
        <v>192,</v>
      </c>
      <c r="AX19" t="str">
        <f t="shared" si="11"/>
        <v xml:space="preserve"> 0xC0,</v>
      </c>
      <c r="AY19" t="s">
        <v>0</v>
      </c>
      <c r="AZ19" t="s">
        <v>1</v>
      </c>
      <c r="BD19" t="str">
        <f t="shared" si="12"/>
        <v xml:space="preserve"> 0x0C,</v>
      </c>
      <c r="BE19" t="str">
        <f t="shared" si="13"/>
        <v>12,</v>
      </c>
      <c r="BF19" t="str">
        <f t="shared" si="14"/>
        <v>00001100</v>
      </c>
      <c r="BG19">
        <v>0</v>
      </c>
      <c r="BH19">
        <v>0</v>
      </c>
      <c r="BI19">
        <v>0</v>
      </c>
      <c r="BJ19">
        <v>0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0x0E,</v>
      </c>
      <c r="C20" t="str">
        <f t="shared" si="1"/>
        <v>14,</v>
      </c>
      <c r="D20" t="str">
        <f t="shared" si="2"/>
        <v>00001110</v>
      </c>
      <c r="E20">
        <v>0</v>
      </c>
      <c r="F20">
        <v>0</v>
      </c>
      <c r="G20">
        <v>0</v>
      </c>
      <c r="H20">
        <v>0</v>
      </c>
      <c r="I20">
        <v>1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0x3D,</v>
      </c>
      <c r="AD20" t="str">
        <f t="shared" si="7"/>
        <v>61,</v>
      </c>
      <c r="AE20" t="str">
        <f t="shared" si="8"/>
        <v>00111101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1</v>
      </c>
      <c r="AL20">
        <v>0</v>
      </c>
      <c r="AM20">
        <v>1</v>
      </c>
      <c r="AN20">
        <v>1</v>
      </c>
      <c r="AO20">
        <v>1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11000000</v>
      </c>
      <c r="AW20" t="str">
        <f t="shared" si="10"/>
        <v>192,</v>
      </c>
      <c r="AX20" t="str">
        <f t="shared" si="11"/>
        <v xml:space="preserve"> 0xC0,</v>
      </c>
      <c r="AY20" t="s">
        <v>0</v>
      </c>
      <c r="AZ20" t="s">
        <v>1</v>
      </c>
      <c r="BD20" t="str">
        <f t="shared" si="12"/>
        <v xml:space="preserve"> 0x0C,</v>
      </c>
      <c r="BE20" t="str">
        <f t="shared" si="13"/>
        <v>12,</v>
      </c>
      <c r="BF20" t="str">
        <f t="shared" si="14"/>
        <v>00001100</v>
      </c>
      <c r="BG20">
        <v>0</v>
      </c>
      <c r="BH20">
        <v>0</v>
      </c>
      <c r="BI20">
        <v>0</v>
      </c>
      <c r="BJ20">
        <v>0</v>
      </c>
      <c r="BK20">
        <v>1</v>
      </c>
      <c r="BL20">
        <v>1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10,</v>
      </c>
      <c r="AW22" t="str">
        <f>AZ20&amp;DEC2HEX(AV22,2)&amp;AY20</f>
        <v xml:space="preserve"> 0x0A,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10,</v>
      </c>
      <c r="BX22" t="str">
        <f>CA20&amp;DEC2HEX(BW22,2)&amp;BZ20</f>
        <v xml:space="preserve"> 0x0A,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7,8,0,24,0,56,0,56,0,254,0,254,0,56,0,56,0,56,0,56,0,56,0,56,0,56,0,56,0,30,0,14,0,//t//116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10,0,0,0,0,0,0,0,0,225,192,225,192,225,192,225,192,225,192,225,192,225,192,225,192,225,192,243,192,127,192,61,192,//u//117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10,0,0,0,0,0,0,0,0,225,192,225,192,225,192,225,192,115,128,115,128,51,0,63,0,30,0,30,0,12,0,12,0,//v//118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0x08, 0x00, 0x18, 0x00, 0x38, 0x00, 0x38, 0x00, 0xFE, 0x00, 0xFE, 0x00, 0x38, 0x00, 0x38, 0x00, 0x38, 0x00, 0x38, 0x00, 0x38, 0x00, 0x38, 0x00, 0x38, 0x00, 0x38, 0x00, 0x1E, 0x00, 0x0E, 0x00,//t//116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0x0A, 0x00, 0x00, 0x00, 0x00, 0x00, 0x00, 0x00, 0x00, 0xE1, 0xC0, 0xE1, 0xC0, 0xE1, 0xC0, 0xE1, 0xC0, 0xE1, 0xC0, 0xE1, 0xC0, 0xE1, 0xC0, 0xE1, 0xC0, 0xE1, 0xC0, 0xF3, 0xC0, 0x7F, 0xC0, 0x3D, 0xC0,//u//117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0x0A, 0x00, 0x00, 0x00, 0x00, 0x00, 0x00, 0x00, 0x00, 0xE1, 0xC0, 0xE1, 0xC0, 0xE1, 0xC0, 0xE1, 0xC0, 0x73, 0x80, 0x73, 0x80, 0x33, 0x00, 0x3F, 0x00, 0x1E, 0x00, 0x1E, 0x00, 0x0C, 0x00, 0x0C, 0x00,//v//118</v>
      </c>
    </row>
    <row r="28" spans="1:79">
      <c r="A28" s="1" t="str">
        <f>$B$24</f>
        <v>7,8,0,24,0,56,0,56,0,254,0,254,0,56,0,56,0,56,0,56,0,56,0,56,0,56,0,56,0,30,0,14,0,//t//116</v>
      </c>
      <c r="E28" t="s">
        <v>4</v>
      </c>
      <c r="AB28" s="1" t="str">
        <f>$AC$24</f>
        <v>10,0,0,0,0,0,0,0,0,225,192,225,192,225,192,225,192,225,192,225,192,225,192,225,192,225,192,243,192,127,192,61,192,//u//117</v>
      </c>
      <c r="AF28" t="s">
        <v>4</v>
      </c>
      <c r="BC28" s="1" t="str">
        <f>$BD$24</f>
        <v>10,0,0,0,0,0,0,0,0,225,192,225,192,225,192,225,192,115,128,115,128,51,0,63,0,30,0,30,0,12,0,12,0,//v//118</v>
      </c>
      <c r="BG28" t="s">
        <v>4</v>
      </c>
    </row>
    <row r="29" spans="1:79">
      <c r="A29" s="2" t="str">
        <f>$B$25</f>
        <v xml:space="preserve"> 0x07, 0x08, 0x00, 0x18, 0x00, 0x38, 0x00, 0x38, 0x00, 0xFE, 0x00, 0xFE, 0x00, 0x38, 0x00, 0x38, 0x00, 0x38, 0x00, 0x38, 0x00, 0x38, 0x00, 0x38, 0x00, 0x38, 0x00, 0x38, 0x00, 0x1E, 0x00, 0x0E, 0x00,//t//116</v>
      </c>
      <c r="E29" t="s">
        <v>3</v>
      </c>
      <c r="AB29" s="2" t="str">
        <f>$AC$25</f>
        <v xml:space="preserve"> 0x0A, 0x00, 0x00, 0x00, 0x00, 0x00, 0x00, 0x00, 0x00, 0xE1, 0xC0, 0xE1, 0xC0, 0xE1, 0xC0, 0xE1, 0xC0, 0xE1, 0xC0, 0xE1, 0xC0, 0xE1, 0xC0, 0xE1, 0xC0, 0xE1, 0xC0, 0xF3, 0xC0, 0x7F, 0xC0, 0x3D, 0xC0,//u//117</v>
      </c>
      <c r="AF29" t="s">
        <v>3</v>
      </c>
      <c r="BC29" s="2" t="str">
        <f>$BD$25</f>
        <v xml:space="preserve"> 0x0A, 0x00, 0x00, 0x00, 0x00, 0x00, 0x00, 0x00, 0x00, 0xE1, 0xC0, 0xE1, 0xC0, 0xE1, 0xC0, 0xE1, 0xC0, 0x73, 0x80, 0x73, 0x80, 0x33, 0x00, 0x3F, 0x00, 0x1E, 0x00, 0x1E, 0x00, 0x0C, 0x00, 0x0C, 0x00,//v//118</v>
      </c>
      <c r="BG29" t="s">
        <v>3</v>
      </c>
    </row>
  </sheetData>
  <conditionalFormatting sqref="E5:T20">
    <cfRule type="colorScale" priority="20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9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18:N19 H8:L12 E5:N5 H13:K15 M8:N17 G8:G17 L13:L17">
    <cfRule type="colorScale" priority="17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7 N18 M18:M19">
    <cfRule type="colorScale" priority="16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5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4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18" priority="13" operator="greaterThan">
      <formula>1</formula>
    </cfRule>
  </conditionalFormatting>
  <conditionalFormatting sqref="AH6:AO7 AH18:AO19 AF5:AO5 AF6:AG20 AH8:AM17 AH20:AI20 AK20:AM20">
    <cfRule type="colorScale" priority="12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19">
    <cfRule type="colorScale" priority="11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10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9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17" priority="8" operator="greaterThan">
      <formula>1</formula>
    </cfRule>
  </conditionalFormatting>
  <conditionalFormatting sqref="BI6:BP7 BI18:BP19 BJ8:BN12 BG5:BP5 BJ13:BM15 BI8:BI17 BI20 BG6:BH20 BJ16:BK17 BN13:BN17 BO8:BP17 BN20:BP20 BL16:BM16">
    <cfRule type="colorScale" priority="7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6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5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4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16" priority="3" operator="greaterThan">
      <formula>1</formula>
    </cfRule>
  </conditionalFormatting>
  <conditionalFormatting sqref="BG5:BV20">
    <cfRule type="cellIs" dxfId="15" priority="1" operator="equal">
      <formula>0</formula>
    </cfRule>
    <cfRule type="cellIs" dxfId="14" priority="2" operator="equal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34"/>
  <dimension ref="A4:CB29"/>
  <sheetViews>
    <sheetView workbookViewId="0">
      <selection activeCell="A21" sqref="A21:XFD22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119</v>
      </c>
      <c r="Z4" t="s">
        <v>5</v>
      </c>
      <c r="AB4" s="3">
        <v>120</v>
      </c>
      <c r="BA4" t="s">
        <v>5</v>
      </c>
      <c r="BC4" s="3">
        <v>121</v>
      </c>
      <c r="CB4" t="s">
        <v>5</v>
      </c>
    </row>
    <row r="5" spans="1:80">
      <c r="A5" s="3" t="s">
        <v>287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288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7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0xE0,</v>
      </c>
      <c r="C9" t="str">
        <f t="shared" si="1"/>
        <v>224,</v>
      </c>
      <c r="D9" t="str">
        <f t="shared" si="2"/>
        <v>11100000</v>
      </c>
      <c r="E9">
        <v>1</v>
      </c>
      <c r="F9">
        <v>1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1</v>
      </c>
      <c r="O9">
        <v>1</v>
      </c>
      <c r="P9">
        <v>1</v>
      </c>
      <c r="Q9">
        <v>0</v>
      </c>
      <c r="R9">
        <v>0</v>
      </c>
      <c r="S9">
        <v>0</v>
      </c>
      <c r="T9">
        <v>0</v>
      </c>
      <c r="U9" t="str">
        <f t="shared" si="3"/>
        <v>01110000</v>
      </c>
      <c r="V9" t="str">
        <f t="shared" si="4"/>
        <v>112,</v>
      </c>
      <c r="W9" t="str">
        <f t="shared" si="5"/>
        <v xml:space="preserve"> 0x70,</v>
      </c>
      <c r="X9" t="s">
        <v>0</v>
      </c>
      <c r="Y9" t="s">
        <v>1</v>
      </c>
      <c r="AC9" t="str">
        <f t="shared" si="6"/>
        <v xml:space="preserve"> 0xE1,</v>
      </c>
      <c r="AD9" t="str">
        <f t="shared" si="7"/>
        <v>225,</v>
      </c>
      <c r="AE9" t="str">
        <f t="shared" si="8"/>
        <v>11100001</v>
      </c>
      <c r="AF9">
        <v>1</v>
      </c>
      <c r="AG9">
        <v>1</v>
      </c>
      <c r="AH9">
        <v>1</v>
      </c>
      <c r="AI9">
        <v>0</v>
      </c>
      <c r="AJ9">
        <v>0</v>
      </c>
      <c r="AK9">
        <v>0</v>
      </c>
      <c r="AL9">
        <v>0</v>
      </c>
      <c r="AM9">
        <v>1</v>
      </c>
      <c r="AN9">
        <v>1</v>
      </c>
      <c r="AO9">
        <v>1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11000000</v>
      </c>
      <c r="AW9" t="str">
        <f t="shared" si="10"/>
        <v>192,</v>
      </c>
      <c r="AX9" t="str">
        <f t="shared" si="11"/>
        <v xml:space="preserve"> 0xC0,</v>
      </c>
      <c r="AY9" t="s">
        <v>0</v>
      </c>
      <c r="AZ9" t="s">
        <v>1</v>
      </c>
      <c r="BD9" t="str">
        <f t="shared" si="12"/>
        <v xml:space="preserve"> 0xE0,</v>
      </c>
      <c r="BE9" t="str">
        <f t="shared" si="13"/>
        <v>224,</v>
      </c>
      <c r="BF9" t="str">
        <f t="shared" si="14"/>
        <v>11100000</v>
      </c>
      <c r="BG9">
        <v>1</v>
      </c>
      <c r="BH9">
        <v>1</v>
      </c>
      <c r="BI9">
        <v>1</v>
      </c>
      <c r="BJ9">
        <v>0</v>
      </c>
      <c r="BK9">
        <v>0</v>
      </c>
      <c r="BL9">
        <v>0</v>
      </c>
      <c r="BM9">
        <v>0</v>
      </c>
      <c r="BN9">
        <v>0</v>
      </c>
      <c r="BO9">
        <v>1</v>
      </c>
      <c r="BP9">
        <v>1</v>
      </c>
      <c r="BQ9">
        <v>1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11100000</v>
      </c>
      <c r="BX9" t="str">
        <f t="shared" si="16"/>
        <v>224,</v>
      </c>
      <c r="BY9" t="str">
        <f t="shared" si="17"/>
        <v xml:space="preserve"> 0xE0,</v>
      </c>
      <c r="BZ9" t="s">
        <v>0</v>
      </c>
      <c r="CA9" t="s">
        <v>1</v>
      </c>
    </row>
    <row r="10" spans="1:80">
      <c r="B10" t="str">
        <f t="shared" si="0"/>
        <v xml:space="preserve"> 0xE0,</v>
      </c>
      <c r="C10" t="str">
        <f t="shared" si="1"/>
        <v>224,</v>
      </c>
      <c r="D10" t="str">
        <f t="shared" si="2"/>
        <v>11100000</v>
      </c>
      <c r="E10">
        <v>1</v>
      </c>
      <c r="F10">
        <v>1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</v>
      </c>
      <c r="O10">
        <v>1</v>
      </c>
      <c r="P10">
        <v>1</v>
      </c>
      <c r="Q10">
        <v>0</v>
      </c>
      <c r="R10">
        <v>0</v>
      </c>
      <c r="S10">
        <v>0</v>
      </c>
      <c r="T10">
        <v>0</v>
      </c>
      <c r="U10" t="str">
        <f t="shared" si="3"/>
        <v>01110000</v>
      </c>
      <c r="V10" t="str">
        <f t="shared" si="4"/>
        <v>112,</v>
      </c>
      <c r="W10" t="str">
        <f t="shared" si="5"/>
        <v xml:space="preserve"> 0x70,</v>
      </c>
      <c r="X10" t="s">
        <v>0</v>
      </c>
      <c r="Y10" t="s">
        <v>1</v>
      </c>
      <c r="AC10" t="str">
        <f t="shared" si="6"/>
        <v xml:space="preserve"> 0xE1,</v>
      </c>
      <c r="AD10" t="str">
        <f t="shared" si="7"/>
        <v>225,</v>
      </c>
      <c r="AE10" t="str">
        <f t="shared" si="8"/>
        <v>11100001</v>
      </c>
      <c r="AF10">
        <v>1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1</v>
      </c>
      <c r="AN10">
        <v>1</v>
      </c>
      <c r="AO10">
        <v>1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11000000</v>
      </c>
      <c r="AW10" t="str">
        <f t="shared" si="10"/>
        <v>192,</v>
      </c>
      <c r="AX10" t="str">
        <f t="shared" si="11"/>
        <v xml:space="preserve"> 0xC0,</v>
      </c>
      <c r="AY10" t="s">
        <v>0</v>
      </c>
      <c r="AZ10" t="s">
        <v>1</v>
      </c>
      <c r="BD10" t="str">
        <f t="shared" si="12"/>
        <v xml:space="preserve"> 0xE0,</v>
      </c>
      <c r="BE10" t="str">
        <f t="shared" si="13"/>
        <v>224,</v>
      </c>
      <c r="BF10" t="str">
        <f t="shared" si="14"/>
        <v>11100000</v>
      </c>
      <c r="BG10">
        <v>1</v>
      </c>
      <c r="BH10">
        <v>1</v>
      </c>
      <c r="BI10">
        <v>1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1</v>
      </c>
      <c r="BP10">
        <v>1</v>
      </c>
      <c r="BQ10">
        <v>1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11100000</v>
      </c>
      <c r="BX10" t="str">
        <f t="shared" si="16"/>
        <v>224,</v>
      </c>
      <c r="BY10" t="str">
        <f t="shared" si="17"/>
        <v xml:space="preserve"> 0xE0,</v>
      </c>
      <c r="BZ10" t="s">
        <v>0</v>
      </c>
      <c r="CA10" t="s">
        <v>1</v>
      </c>
    </row>
    <row r="11" spans="1:80">
      <c r="B11" t="str">
        <f t="shared" si="0"/>
        <v xml:space="preserve"> 0xE0,</v>
      </c>
      <c r="C11" t="str">
        <f t="shared" si="1"/>
        <v>224,</v>
      </c>
      <c r="D11" t="str">
        <f t="shared" si="2"/>
        <v>11100000</v>
      </c>
      <c r="E11">
        <v>1</v>
      </c>
      <c r="F11">
        <v>1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1</v>
      </c>
      <c r="O11">
        <v>1</v>
      </c>
      <c r="P11">
        <v>1</v>
      </c>
      <c r="Q11">
        <v>0</v>
      </c>
      <c r="R11">
        <v>0</v>
      </c>
      <c r="S11">
        <v>0</v>
      </c>
      <c r="T11">
        <v>0</v>
      </c>
      <c r="U11" t="str">
        <f t="shared" si="3"/>
        <v>01110000</v>
      </c>
      <c r="V11" t="str">
        <f t="shared" si="4"/>
        <v>112,</v>
      </c>
      <c r="W11" t="str">
        <f t="shared" si="5"/>
        <v xml:space="preserve"> 0x70,</v>
      </c>
      <c r="X11" t="s">
        <v>0</v>
      </c>
      <c r="Y11" t="s">
        <v>1</v>
      </c>
      <c r="AC11" t="str">
        <f t="shared" si="6"/>
        <v xml:space="preserve"> 0xF3,</v>
      </c>
      <c r="AD11" t="str">
        <f t="shared" si="7"/>
        <v>243,</v>
      </c>
      <c r="AE11" t="str">
        <f t="shared" si="8"/>
        <v>11110011</v>
      </c>
      <c r="AF11">
        <v>1</v>
      </c>
      <c r="AG11">
        <v>1</v>
      </c>
      <c r="AH11">
        <v>1</v>
      </c>
      <c r="AI11">
        <v>1</v>
      </c>
      <c r="AJ11">
        <v>0</v>
      </c>
      <c r="AK11">
        <v>0</v>
      </c>
      <c r="AL11">
        <v>1</v>
      </c>
      <c r="AM11">
        <v>1</v>
      </c>
      <c r="AN11">
        <v>1</v>
      </c>
      <c r="AO11">
        <v>1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11000000</v>
      </c>
      <c r="AW11" t="str">
        <f t="shared" si="10"/>
        <v>192,</v>
      </c>
      <c r="AX11" t="str">
        <f t="shared" si="11"/>
        <v xml:space="preserve"> 0xC0,</v>
      </c>
      <c r="AY11" t="s">
        <v>0</v>
      </c>
      <c r="AZ11" t="s">
        <v>1</v>
      </c>
      <c r="BD11" t="str">
        <f t="shared" si="12"/>
        <v xml:space="preserve"> 0x71,</v>
      </c>
      <c r="BE11" t="str">
        <f t="shared" si="13"/>
        <v>113,</v>
      </c>
      <c r="BF11" t="str">
        <f t="shared" si="14"/>
        <v>01110001</v>
      </c>
      <c r="BG11">
        <v>0</v>
      </c>
      <c r="BH11">
        <v>1</v>
      </c>
      <c r="BI11">
        <v>1</v>
      </c>
      <c r="BJ11">
        <v>1</v>
      </c>
      <c r="BK11">
        <v>0</v>
      </c>
      <c r="BL11">
        <v>0</v>
      </c>
      <c r="BM11">
        <v>0</v>
      </c>
      <c r="BN11">
        <v>1</v>
      </c>
      <c r="BO11">
        <v>1</v>
      </c>
      <c r="BP11">
        <v>1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11000000</v>
      </c>
      <c r="BX11" t="str">
        <f t="shared" si="16"/>
        <v>192,</v>
      </c>
      <c r="BY11" t="str">
        <f t="shared" si="17"/>
        <v xml:space="preserve"> 0xC0,</v>
      </c>
      <c r="BZ11" t="s">
        <v>0</v>
      </c>
      <c r="CA11" t="s">
        <v>1</v>
      </c>
    </row>
    <row r="12" spans="1:80">
      <c r="B12" t="str">
        <f t="shared" si="0"/>
        <v xml:space="preserve"> 0xE6,</v>
      </c>
      <c r="C12" t="str">
        <f t="shared" si="1"/>
        <v>230,</v>
      </c>
      <c r="D12" t="str">
        <f t="shared" si="2"/>
        <v>11100110</v>
      </c>
      <c r="E12">
        <v>1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1</v>
      </c>
      <c r="O12">
        <v>1</v>
      </c>
      <c r="P12">
        <v>1</v>
      </c>
      <c r="Q12">
        <v>0</v>
      </c>
      <c r="R12">
        <v>0</v>
      </c>
      <c r="S12">
        <v>0</v>
      </c>
      <c r="T12">
        <v>0</v>
      </c>
      <c r="U12" t="str">
        <f t="shared" si="3"/>
        <v>01110000</v>
      </c>
      <c r="V12" t="str">
        <f t="shared" si="4"/>
        <v>112,</v>
      </c>
      <c r="W12" t="str">
        <f t="shared" si="5"/>
        <v xml:space="preserve"> 0x70,</v>
      </c>
      <c r="X12" t="s">
        <v>0</v>
      </c>
      <c r="Y12" t="s">
        <v>1</v>
      </c>
      <c r="AC12" t="str">
        <f t="shared" si="6"/>
        <v xml:space="preserve"> 0x7F,</v>
      </c>
      <c r="AD12" t="str">
        <f t="shared" si="7"/>
        <v>127,</v>
      </c>
      <c r="AE12" t="str">
        <f t="shared" si="8"/>
        <v>01111111</v>
      </c>
      <c r="AF12">
        <v>0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10000000</v>
      </c>
      <c r="AW12" t="str">
        <f t="shared" si="10"/>
        <v>128,</v>
      </c>
      <c r="AX12" t="str">
        <f t="shared" si="11"/>
        <v xml:space="preserve"> 0x80,</v>
      </c>
      <c r="AY12" t="s">
        <v>0</v>
      </c>
      <c r="AZ12" t="s">
        <v>1</v>
      </c>
      <c r="BD12" t="str">
        <f t="shared" si="12"/>
        <v xml:space="preserve"> 0x71,</v>
      </c>
      <c r="BE12" t="str">
        <f t="shared" si="13"/>
        <v>113,</v>
      </c>
      <c r="BF12" t="str">
        <f t="shared" si="14"/>
        <v>01110001</v>
      </c>
      <c r="BG12">
        <v>0</v>
      </c>
      <c r="BH12">
        <v>1</v>
      </c>
      <c r="BI12">
        <v>1</v>
      </c>
      <c r="BJ12">
        <v>1</v>
      </c>
      <c r="BK12">
        <v>0</v>
      </c>
      <c r="BL12">
        <v>0</v>
      </c>
      <c r="BM12">
        <v>0</v>
      </c>
      <c r="BN12">
        <v>1</v>
      </c>
      <c r="BO12">
        <v>1</v>
      </c>
      <c r="BP12">
        <v>1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11000000</v>
      </c>
      <c r="BX12" t="str">
        <f t="shared" si="16"/>
        <v>192,</v>
      </c>
      <c r="BY12" t="str">
        <f t="shared" si="17"/>
        <v xml:space="preserve"> 0xC0,</v>
      </c>
      <c r="BZ12" t="s">
        <v>0</v>
      </c>
      <c r="CA12" t="s">
        <v>1</v>
      </c>
    </row>
    <row r="13" spans="1:80">
      <c r="B13" t="str">
        <f t="shared" si="0"/>
        <v xml:space="preserve"> 0xE6,</v>
      </c>
      <c r="C13" t="str">
        <f t="shared" si="1"/>
        <v>230,</v>
      </c>
      <c r="D13" t="str">
        <f t="shared" si="2"/>
        <v>11100110</v>
      </c>
      <c r="E13">
        <v>1</v>
      </c>
      <c r="F13">
        <v>1</v>
      </c>
      <c r="G13">
        <v>1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1</v>
      </c>
      <c r="O13">
        <v>1</v>
      </c>
      <c r="P13">
        <v>1</v>
      </c>
      <c r="Q13">
        <v>0</v>
      </c>
      <c r="R13">
        <v>0</v>
      </c>
      <c r="S13">
        <v>0</v>
      </c>
      <c r="T13">
        <v>0</v>
      </c>
      <c r="U13" t="str">
        <f t="shared" si="3"/>
        <v>01110000</v>
      </c>
      <c r="V13" t="str">
        <f t="shared" si="4"/>
        <v>112,</v>
      </c>
      <c r="W13" t="str">
        <f t="shared" si="5"/>
        <v xml:space="preserve"> 0x70,</v>
      </c>
      <c r="X13" t="s">
        <v>0</v>
      </c>
      <c r="Y13" t="s">
        <v>1</v>
      </c>
      <c r="AC13" t="str">
        <f t="shared" si="6"/>
        <v xml:space="preserve"> 0x3F,</v>
      </c>
      <c r="AD13" t="str">
        <f t="shared" si="7"/>
        <v>63,</v>
      </c>
      <c r="AE13" t="str">
        <f t="shared" si="8"/>
        <v>00111111</v>
      </c>
      <c r="AF13">
        <v>0</v>
      </c>
      <c r="AG13">
        <v>0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0x3B,</v>
      </c>
      <c r="BE13" t="str">
        <f t="shared" si="13"/>
        <v>59,</v>
      </c>
      <c r="BF13" t="str">
        <f t="shared" si="14"/>
        <v>00111011</v>
      </c>
      <c r="BG13">
        <v>0</v>
      </c>
      <c r="BH13">
        <v>0</v>
      </c>
      <c r="BI13">
        <v>1</v>
      </c>
      <c r="BJ13">
        <v>1</v>
      </c>
      <c r="BK13">
        <v>1</v>
      </c>
      <c r="BL13">
        <v>0</v>
      </c>
      <c r="BM13">
        <v>1</v>
      </c>
      <c r="BN13">
        <v>1</v>
      </c>
      <c r="BO13">
        <v>1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10000000</v>
      </c>
      <c r="BX13" t="str">
        <f t="shared" si="16"/>
        <v>128,</v>
      </c>
      <c r="BY13" t="str">
        <f t="shared" si="17"/>
        <v xml:space="preserve"> 0x80,</v>
      </c>
      <c r="BZ13" t="s">
        <v>0</v>
      </c>
      <c r="CA13" t="s">
        <v>1</v>
      </c>
    </row>
    <row r="14" spans="1:80">
      <c r="B14" t="str">
        <f t="shared" si="0"/>
        <v xml:space="preserve"> 0xEF,</v>
      </c>
      <c r="C14" t="str">
        <f t="shared" si="1"/>
        <v>239,</v>
      </c>
      <c r="D14" t="str">
        <f t="shared" si="2"/>
        <v>11101111</v>
      </c>
      <c r="E14">
        <v>1</v>
      </c>
      <c r="F14">
        <v>1</v>
      </c>
      <c r="G14">
        <v>1</v>
      </c>
      <c r="H14">
        <v>0</v>
      </c>
      <c r="I14">
        <v>1</v>
      </c>
      <c r="J14">
        <v>1</v>
      </c>
      <c r="K14">
        <v>1</v>
      </c>
      <c r="L14">
        <v>1</v>
      </c>
      <c r="M14">
        <v>0</v>
      </c>
      <c r="N14">
        <v>1</v>
      </c>
      <c r="O14">
        <v>1</v>
      </c>
      <c r="P14">
        <v>1</v>
      </c>
      <c r="Q14">
        <v>0</v>
      </c>
      <c r="R14">
        <v>0</v>
      </c>
      <c r="S14">
        <v>0</v>
      </c>
      <c r="T14">
        <v>0</v>
      </c>
      <c r="U14" t="str">
        <f t="shared" si="3"/>
        <v>01110000</v>
      </c>
      <c r="V14" t="str">
        <f t="shared" si="4"/>
        <v>112,</v>
      </c>
      <c r="W14" t="str">
        <f t="shared" si="5"/>
        <v xml:space="preserve"> 0x70,</v>
      </c>
      <c r="X14" t="s">
        <v>0</v>
      </c>
      <c r="Y14" t="s">
        <v>1</v>
      </c>
      <c r="AC14" t="str">
        <f t="shared" si="6"/>
        <v xml:space="preserve"> 0x1E,</v>
      </c>
      <c r="AD14" t="str">
        <f t="shared" si="7"/>
        <v>30,</v>
      </c>
      <c r="AE14" t="str">
        <f t="shared" si="8"/>
        <v>00011110</v>
      </c>
      <c r="AF14">
        <v>0</v>
      </c>
      <c r="AG14">
        <v>0</v>
      </c>
      <c r="AH14">
        <v>0</v>
      </c>
      <c r="AI14">
        <v>1</v>
      </c>
      <c r="AJ14">
        <v>1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0x3B,</v>
      </c>
      <c r="BE14" t="str">
        <f t="shared" si="13"/>
        <v>59,</v>
      </c>
      <c r="BF14" t="str">
        <f t="shared" si="14"/>
        <v>00111011</v>
      </c>
      <c r="BG14">
        <v>0</v>
      </c>
      <c r="BH14">
        <v>0</v>
      </c>
      <c r="BI14">
        <v>1</v>
      </c>
      <c r="BJ14">
        <v>1</v>
      </c>
      <c r="BK14">
        <v>1</v>
      </c>
      <c r="BL14">
        <v>0</v>
      </c>
      <c r="BM14">
        <v>1</v>
      </c>
      <c r="BN14">
        <v>1</v>
      </c>
      <c r="BO14">
        <v>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10000000</v>
      </c>
      <c r="BX14" t="str">
        <f t="shared" si="16"/>
        <v>128,</v>
      </c>
      <c r="BY14" t="str">
        <f t="shared" si="17"/>
        <v xml:space="preserve"> 0x80,</v>
      </c>
      <c r="BZ14" t="s">
        <v>0</v>
      </c>
      <c r="CA14" t="s">
        <v>1</v>
      </c>
    </row>
    <row r="15" spans="1:80">
      <c r="B15" t="str">
        <f t="shared" si="0"/>
        <v xml:space="preserve"> 0xFF,</v>
      </c>
      <c r="C15" t="str">
        <f t="shared" si="1"/>
        <v>255,</v>
      </c>
      <c r="D15" t="str">
        <f t="shared" si="2"/>
        <v>11111111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0</v>
      </c>
      <c r="R15">
        <v>0</v>
      </c>
      <c r="S15">
        <v>0</v>
      </c>
      <c r="T15">
        <v>0</v>
      </c>
      <c r="U15" t="str">
        <f t="shared" si="3"/>
        <v>11110000</v>
      </c>
      <c r="V15" t="str">
        <f t="shared" si="4"/>
        <v>240,</v>
      </c>
      <c r="W15" t="str">
        <f t="shared" si="5"/>
        <v xml:space="preserve"> 0xF0,</v>
      </c>
      <c r="X15" t="s">
        <v>0</v>
      </c>
      <c r="Y15" t="s">
        <v>1</v>
      </c>
      <c r="AC15" t="str">
        <f t="shared" si="6"/>
        <v xml:space="preserve"> 0x1E,</v>
      </c>
      <c r="AD15" t="str">
        <f t="shared" si="7"/>
        <v>30,</v>
      </c>
      <c r="AE15" t="str">
        <f t="shared" si="8"/>
        <v>00011110</v>
      </c>
      <c r="AF15">
        <v>0</v>
      </c>
      <c r="AG15">
        <v>0</v>
      </c>
      <c r="AH15">
        <v>0</v>
      </c>
      <c r="AI15">
        <v>1</v>
      </c>
      <c r="AJ15">
        <v>1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0x1F,</v>
      </c>
      <c r="BE15" t="str">
        <f t="shared" si="13"/>
        <v>31,</v>
      </c>
      <c r="BF15" t="str">
        <f t="shared" si="14"/>
        <v>00011111</v>
      </c>
      <c r="BG15">
        <v>0</v>
      </c>
      <c r="BH15">
        <v>0</v>
      </c>
      <c r="BI15">
        <v>0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0x7F,</v>
      </c>
      <c r="C16" t="str">
        <f t="shared" si="1"/>
        <v>127,</v>
      </c>
      <c r="D16" t="str">
        <f t="shared" si="2"/>
        <v>01111111</v>
      </c>
      <c r="E16">
        <v>0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11100000</v>
      </c>
      <c r="V16" t="str">
        <f t="shared" si="4"/>
        <v>224,</v>
      </c>
      <c r="W16" t="str">
        <f t="shared" si="5"/>
        <v xml:space="preserve"> 0xE0,</v>
      </c>
      <c r="X16" t="s">
        <v>0</v>
      </c>
      <c r="Y16" t="s">
        <v>1</v>
      </c>
      <c r="AC16" t="str">
        <f t="shared" si="6"/>
        <v xml:space="preserve"> 0x3F,</v>
      </c>
      <c r="AD16" t="str">
        <f t="shared" si="7"/>
        <v>63,</v>
      </c>
      <c r="AE16" t="str">
        <f t="shared" si="8"/>
        <v>00111111</v>
      </c>
      <c r="AF16">
        <v>0</v>
      </c>
      <c r="AG16">
        <v>0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0x1F,</v>
      </c>
      <c r="BE16" t="str">
        <f t="shared" si="13"/>
        <v>31,</v>
      </c>
      <c r="BF16" t="str">
        <f t="shared" si="14"/>
        <v>00011111</v>
      </c>
      <c r="BG16">
        <v>0</v>
      </c>
      <c r="BH16">
        <v>0</v>
      </c>
      <c r="BI16">
        <v>0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0x79,</v>
      </c>
      <c r="C17" t="str">
        <f t="shared" si="1"/>
        <v>121,</v>
      </c>
      <c r="D17" t="str">
        <f t="shared" si="2"/>
        <v>01111001</v>
      </c>
      <c r="E17">
        <v>0</v>
      </c>
      <c r="F17">
        <v>1</v>
      </c>
      <c r="G17">
        <v>1</v>
      </c>
      <c r="H17">
        <v>1</v>
      </c>
      <c r="I17">
        <v>1</v>
      </c>
      <c r="J17">
        <v>0</v>
      </c>
      <c r="K17">
        <v>0</v>
      </c>
      <c r="L17">
        <v>1</v>
      </c>
      <c r="M17">
        <v>1</v>
      </c>
      <c r="N17">
        <v>1</v>
      </c>
      <c r="O17">
        <v>1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11100000</v>
      </c>
      <c r="V17" t="str">
        <f t="shared" si="4"/>
        <v>224,</v>
      </c>
      <c r="W17" t="str">
        <f t="shared" si="5"/>
        <v xml:space="preserve"> 0xE0,</v>
      </c>
      <c r="X17" t="s">
        <v>0</v>
      </c>
      <c r="Y17" t="s">
        <v>1</v>
      </c>
      <c r="AC17" t="str">
        <f t="shared" si="6"/>
        <v xml:space="preserve"> 0x7F,</v>
      </c>
      <c r="AD17" t="str">
        <f t="shared" si="7"/>
        <v>127,</v>
      </c>
      <c r="AE17" t="str">
        <f t="shared" si="8"/>
        <v>01111111</v>
      </c>
      <c r="AF17">
        <v>0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10000000</v>
      </c>
      <c r="AW17" t="str">
        <f t="shared" si="10"/>
        <v>128,</v>
      </c>
      <c r="AX17" t="str">
        <f t="shared" si="11"/>
        <v xml:space="preserve"> 0x80,</v>
      </c>
      <c r="AY17" t="s">
        <v>0</v>
      </c>
      <c r="AZ17" t="s">
        <v>1</v>
      </c>
      <c r="BD17" t="str">
        <f t="shared" si="12"/>
        <v xml:space="preserve"> 0x0E,</v>
      </c>
      <c r="BE17" t="str">
        <f t="shared" si="13"/>
        <v>14,</v>
      </c>
      <c r="BF17" t="str">
        <f t="shared" si="14"/>
        <v>00001110</v>
      </c>
      <c r="BG17">
        <v>0</v>
      </c>
      <c r="BH17">
        <v>0</v>
      </c>
      <c r="BI17">
        <v>0</v>
      </c>
      <c r="BJ17">
        <v>0</v>
      </c>
      <c r="BK17">
        <v>1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0x79,</v>
      </c>
      <c r="C18" t="str">
        <f t="shared" si="1"/>
        <v>121,</v>
      </c>
      <c r="D18" t="str">
        <f t="shared" si="2"/>
        <v>01111001</v>
      </c>
      <c r="E18">
        <v>0</v>
      </c>
      <c r="F18">
        <v>1</v>
      </c>
      <c r="G18">
        <v>1</v>
      </c>
      <c r="H18">
        <v>1</v>
      </c>
      <c r="I18">
        <v>1</v>
      </c>
      <c r="J18">
        <v>0</v>
      </c>
      <c r="K18">
        <v>0</v>
      </c>
      <c r="L18">
        <v>1</v>
      </c>
      <c r="M18">
        <v>1</v>
      </c>
      <c r="N18">
        <v>1</v>
      </c>
      <c r="O18">
        <v>1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11100000</v>
      </c>
      <c r="V18" t="str">
        <f t="shared" si="4"/>
        <v>224,</v>
      </c>
      <c r="W18" t="str">
        <f t="shared" si="5"/>
        <v xml:space="preserve"> 0xE0,</v>
      </c>
      <c r="X18" t="s">
        <v>0</v>
      </c>
      <c r="Y18" t="s">
        <v>1</v>
      </c>
      <c r="AC18" t="str">
        <f t="shared" si="6"/>
        <v xml:space="preserve"> 0xF3,</v>
      </c>
      <c r="AD18" t="str">
        <f t="shared" si="7"/>
        <v>243,</v>
      </c>
      <c r="AE18" t="str">
        <f t="shared" si="8"/>
        <v>11110011</v>
      </c>
      <c r="AF18">
        <v>1</v>
      </c>
      <c r="AG18">
        <v>1</v>
      </c>
      <c r="AH18">
        <v>1</v>
      </c>
      <c r="AI18">
        <v>1</v>
      </c>
      <c r="AJ18">
        <v>0</v>
      </c>
      <c r="AK18">
        <v>0</v>
      </c>
      <c r="AL18">
        <v>1</v>
      </c>
      <c r="AM18">
        <v>1</v>
      </c>
      <c r="AN18">
        <v>1</v>
      </c>
      <c r="AO18">
        <v>1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11000000</v>
      </c>
      <c r="AW18" t="str">
        <f t="shared" si="10"/>
        <v>192,</v>
      </c>
      <c r="AX18" t="str">
        <f t="shared" si="11"/>
        <v xml:space="preserve"> 0xC0,</v>
      </c>
      <c r="AY18" t="s">
        <v>0</v>
      </c>
      <c r="AZ18" t="s">
        <v>1</v>
      </c>
      <c r="BD18" t="str">
        <f t="shared" si="12"/>
        <v xml:space="preserve"> 0x1E,</v>
      </c>
      <c r="BE18" t="str">
        <f t="shared" si="13"/>
        <v>30,</v>
      </c>
      <c r="BF18" t="str">
        <f t="shared" si="14"/>
        <v>00011110</v>
      </c>
      <c r="BG18">
        <v>0</v>
      </c>
      <c r="BH18">
        <v>0</v>
      </c>
      <c r="BI18">
        <v>0</v>
      </c>
      <c r="BJ18">
        <v>1</v>
      </c>
      <c r="BK18">
        <v>1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0x30,</v>
      </c>
      <c r="C19" t="str">
        <f t="shared" si="1"/>
        <v>48,</v>
      </c>
      <c r="D19" t="str">
        <f t="shared" si="2"/>
        <v>00110000</v>
      </c>
      <c r="E19">
        <v>0</v>
      </c>
      <c r="F19">
        <v>0</v>
      </c>
      <c r="G19">
        <v>1</v>
      </c>
      <c r="H19">
        <v>1</v>
      </c>
      <c r="I19">
        <v>0</v>
      </c>
      <c r="J19">
        <v>0</v>
      </c>
      <c r="K19">
        <v>0</v>
      </c>
      <c r="L19">
        <v>0</v>
      </c>
      <c r="M19">
        <v>1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11000000</v>
      </c>
      <c r="V19" t="str">
        <f t="shared" si="4"/>
        <v>192,</v>
      </c>
      <c r="W19" t="str">
        <f t="shared" si="5"/>
        <v xml:space="preserve"> 0xC0,</v>
      </c>
      <c r="X19" t="s">
        <v>0</v>
      </c>
      <c r="Y19" t="s">
        <v>1</v>
      </c>
      <c r="AC19" t="str">
        <f t="shared" si="6"/>
        <v xml:space="preserve"> 0xE1,</v>
      </c>
      <c r="AD19" t="str">
        <f t="shared" si="7"/>
        <v>225,</v>
      </c>
      <c r="AE19" t="str">
        <f t="shared" si="8"/>
        <v>11100001</v>
      </c>
      <c r="AF19">
        <v>1</v>
      </c>
      <c r="AG19">
        <v>1</v>
      </c>
      <c r="AH19">
        <v>1</v>
      </c>
      <c r="AI19">
        <v>0</v>
      </c>
      <c r="AJ19">
        <v>0</v>
      </c>
      <c r="AK19">
        <v>0</v>
      </c>
      <c r="AL19">
        <v>0</v>
      </c>
      <c r="AM19">
        <v>1</v>
      </c>
      <c r="AN19">
        <v>1</v>
      </c>
      <c r="AO19">
        <v>1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11000000</v>
      </c>
      <c r="AW19" t="str">
        <f t="shared" si="10"/>
        <v>192,</v>
      </c>
      <c r="AX19" t="str">
        <f t="shared" si="11"/>
        <v xml:space="preserve"> 0xC0,</v>
      </c>
      <c r="AY19" t="s">
        <v>0</v>
      </c>
      <c r="AZ19" t="s">
        <v>1</v>
      </c>
      <c r="BD19" t="str">
        <f t="shared" si="12"/>
        <v xml:space="preserve"> 0xFC,</v>
      </c>
      <c r="BE19" t="str">
        <f t="shared" si="13"/>
        <v>252,</v>
      </c>
      <c r="BF19" t="str">
        <f t="shared" si="14"/>
        <v>11111100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0x30,</v>
      </c>
      <c r="C20" t="str">
        <f t="shared" si="1"/>
        <v>48,</v>
      </c>
      <c r="D20" t="str">
        <f t="shared" si="2"/>
        <v>00110000</v>
      </c>
      <c r="E20">
        <v>0</v>
      </c>
      <c r="F20">
        <v>0</v>
      </c>
      <c r="G20">
        <v>1</v>
      </c>
      <c r="H20">
        <v>1</v>
      </c>
      <c r="I20">
        <v>0</v>
      </c>
      <c r="J20">
        <v>0</v>
      </c>
      <c r="K20">
        <v>0</v>
      </c>
      <c r="L20">
        <v>0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11000000</v>
      </c>
      <c r="V20" t="str">
        <f t="shared" si="4"/>
        <v>192,</v>
      </c>
      <c r="W20" t="str">
        <f t="shared" si="5"/>
        <v xml:space="preserve"> 0xC0,</v>
      </c>
      <c r="X20" t="s">
        <v>0</v>
      </c>
      <c r="Y20" t="s">
        <v>1</v>
      </c>
      <c r="AC20" t="str">
        <f t="shared" si="6"/>
        <v xml:space="preserve"> 0xE1,</v>
      </c>
      <c r="AD20" t="str">
        <f t="shared" si="7"/>
        <v>225,</v>
      </c>
      <c r="AE20" t="str">
        <f t="shared" si="8"/>
        <v>11100001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0</v>
      </c>
      <c r="AL20">
        <v>0</v>
      </c>
      <c r="AM20">
        <v>1</v>
      </c>
      <c r="AN20">
        <v>1</v>
      </c>
      <c r="AO20">
        <v>1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11000000</v>
      </c>
      <c r="AW20" t="str">
        <f t="shared" si="10"/>
        <v>192,</v>
      </c>
      <c r="AX20" t="str">
        <f t="shared" si="11"/>
        <v xml:space="preserve"> 0xC0,</v>
      </c>
      <c r="AY20" t="s">
        <v>0</v>
      </c>
      <c r="AZ20" t="s">
        <v>1</v>
      </c>
      <c r="BD20" t="str">
        <f t="shared" si="12"/>
        <v xml:space="preserve"> 0x78,</v>
      </c>
      <c r="BE20" t="str">
        <f t="shared" si="13"/>
        <v>120,</v>
      </c>
      <c r="BF20" t="str">
        <f t="shared" si="14"/>
        <v>01111000</v>
      </c>
      <c r="BG20">
        <v>0</v>
      </c>
      <c r="BH20">
        <v>1</v>
      </c>
      <c r="BI20">
        <v>1</v>
      </c>
      <c r="BJ20">
        <v>1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1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12,</v>
      </c>
      <c r="V22" t="str">
        <f>Y20&amp;DEC2HEX(U22,2)&amp;X20</f>
        <v xml:space="preserve"> 0x0C,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10,</v>
      </c>
      <c r="AW22" t="str">
        <f>AZ20&amp;DEC2HEX(AV22,2)&amp;AY20</f>
        <v xml:space="preserve"> 0x0A,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1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11,</v>
      </c>
      <c r="BX22" t="str">
        <f>CA20&amp;DEC2HEX(BW22,2)&amp;BZ20</f>
        <v xml:space="preserve"> 0x0B,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12,0,0,0,0,0,0,0,0,224,112,224,112,224,112,230,112,230,112,239,112,255,240,127,224,121,224,121,224,48,192,48,192,//w//119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10,0,0,0,0,0,0,0,0,225,192,225,192,243,192,127,128,63,0,30,0,30,0,63,0,127,128,243,192,225,192,225,192,//x//120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11,0,0,0,0,0,0,0,0,224,224,224,224,113,192,113,192,59,128,59,128,31,0,31,0,14,0,30,0,252,0,120,0,//У//121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0x0C, 0x00, 0x00, 0x00, 0x00, 0x00, 0x00, 0x00, 0x00, 0xE0, 0x70, 0xE0, 0x70, 0xE0, 0x70, 0xE6, 0x70, 0xE6, 0x70, 0xEF, 0x70, 0xFF, 0xF0, 0x7F, 0xE0, 0x79, 0xE0, 0x79, 0xE0, 0x30, 0xC0, 0x30, 0xC0,//w//119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0x0A, 0x00, 0x00, 0x00, 0x00, 0x00, 0x00, 0x00, 0x00, 0xE1, 0xC0, 0xE1, 0xC0, 0xF3, 0xC0, 0x7F, 0x80, 0x3F, 0x00, 0x1E, 0x00, 0x1E, 0x00, 0x3F, 0x00, 0x7F, 0x80, 0xF3, 0xC0, 0xE1, 0xC0, 0xE1, 0xC0,//x//120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0x0B, 0x00, 0x00, 0x00, 0x00, 0x00, 0x00, 0x00, 0x00, 0xE0, 0xE0, 0xE0, 0xE0, 0x71, 0xC0, 0x71, 0xC0, 0x3B, 0x80, 0x3B, 0x80, 0x1F, 0x00, 0x1F, 0x00, 0x0E, 0x00, 0x1E, 0x00, 0xFC, 0x00, 0x78, 0x00,//У//121</v>
      </c>
    </row>
    <row r="28" spans="1:79">
      <c r="A28" s="1" t="str">
        <f>$B$24</f>
        <v>12,0,0,0,0,0,0,0,0,224,112,224,112,224,112,230,112,230,112,239,112,255,240,127,224,121,224,121,224,48,192,48,192,//w//119</v>
      </c>
      <c r="E28" t="s">
        <v>4</v>
      </c>
      <c r="AB28" s="1" t="str">
        <f>$AC$24</f>
        <v>10,0,0,0,0,0,0,0,0,225,192,225,192,243,192,127,128,63,0,30,0,30,0,63,0,127,128,243,192,225,192,225,192,//x//120</v>
      </c>
      <c r="AF28" t="s">
        <v>4</v>
      </c>
      <c r="BC28" s="1" t="str">
        <f>$BD$24</f>
        <v>11,0,0,0,0,0,0,0,0,224,224,224,224,113,192,113,192,59,128,59,128,31,0,31,0,14,0,30,0,252,0,120,0,//У//121</v>
      </c>
      <c r="BG28" t="s">
        <v>4</v>
      </c>
    </row>
    <row r="29" spans="1:79">
      <c r="A29" s="2" t="str">
        <f>$B$25</f>
        <v xml:space="preserve"> 0x0C, 0x00, 0x00, 0x00, 0x00, 0x00, 0x00, 0x00, 0x00, 0xE0, 0x70, 0xE0, 0x70, 0xE0, 0x70, 0xE6, 0x70, 0xE6, 0x70, 0xEF, 0x70, 0xFF, 0xF0, 0x7F, 0xE0, 0x79, 0xE0, 0x79, 0xE0, 0x30, 0xC0, 0x30, 0xC0,//w//119</v>
      </c>
      <c r="E29" t="s">
        <v>3</v>
      </c>
      <c r="AB29" s="2" t="str">
        <f>$AC$25</f>
        <v xml:space="preserve"> 0x0A, 0x00, 0x00, 0x00, 0x00, 0x00, 0x00, 0x00, 0x00, 0xE1, 0xC0, 0xE1, 0xC0, 0xF3, 0xC0, 0x7F, 0x80, 0x3F, 0x00, 0x1E, 0x00, 0x1E, 0x00, 0x3F, 0x00, 0x7F, 0x80, 0xF3, 0xC0, 0xE1, 0xC0, 0xE1, 0xC0,//x//120</v>
      </c>
      <c r="AF29" t="s">
        <v>3</v>
      </c>
      <c r="BC29" s="2" t="str">
        <f>$BD$25</f>
        <v xml:space="preserve"> 0x0B, 0x00, 0x00, 0x00, 0x00, 0x00, 0x00, 0x00, 0x00, 0xE0, 0xE0, 0xE0, 0xE0, 0x71, 0xC0, 0x71, 0xC0, 0x3B, 0x80, 0x3B, 0x80, 0x1F, 0x00, 0x1F, 0x00, 0x0E, 0x00, 0x1E, 0x00, 0xFC, 0x00, 0x78, 0x00,//У//121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18:N19 H8:L12 E5:N5 H13:K15 M8:N17 G8:G17 L13:L17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7 N18 M18:M19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13" priority="11" operator="greaterThan">
      <formula>1</formula>
    </cfRule>
  </conditionalFormatting>
  <conditionalFormatting sqref="AH6:AO7 AH18:AO19 AF5:AO5 AF6:AG20 AH8:AM17 AH20:AI20 AK20:AM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19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12" priority="6" operator="greaterThan">
      <formula>1</formula>
    </cfRule>
  </conditionalFormatting>
  <conditionalFormatting sqref="BI6:BP7 BI18:BP19 BJ8:BN12 BG5:BP5 BJ13:BM15 BI8:BI17 BI20 BG6:BH20 BJ16:BK17 BN13:BN17 BO8:BP17 BN20:BP20 BL16:BM16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11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5"/>
  <dimension ref="A4:CB29"/>
  <sheetViews>
    <sheetView workbookViewId="0">
      <selection activeCell="J27" sqref="J27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122</v>
      </c>
      <c r="Z4" t="s">
        <v>5</v>
      </c>
      <c r="AB4" s="3">
        <v>123</v>
      </c>
      <c r="BA4" t="s">
        <v>5</v>
      </c>
      <c r="BC4" s="3">
        <v>124</v>
      </c>
      <c r="CB4" t="s">
        <v>5</v>
      </c>
    </row>
    <row r="5" spans="1:80">
      <c r="A5" s="3" t="s">
        <v>289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290</v>
      </c>
      <c r="AC5" t="str">
        <f>BA5&amp;AZ5&amp;BIN2HEX(AE5,2)&amp;AY5</f>
        <v xml:space="preserve"> 0x0F,</v>
      </c>
      <c r="AD5" t="str">
        <f>BA5&amp;BIN2DEC(AE5)&amp;AY5</f>
        <v>15,</v>
      </c>
      <c r="AE5" t="str">
        <f>AF5&amp;AG5&amp;AH5&amp;AI5&amp;AJ5&amp;AK5&amp;AL5&amp;AM5</f>
        <v>00001111</v>
      </c>
      <c r="AF5">
        <v>0</v>
      </c>
      <c r="AG5">
        <v>0</v>
      </c>
      <c r="AH5">
        <v>0</v>
      </c>
      <c r="AI5">
        <v>0</v>
      </c>
      <c r="AJ5">
        <v>1</v>
      </c>
      <c r="AK5">
        <v>1</v>
      </c>
      <c r="AL5">
        <v>1</v>
      </c>
      <c r="AM5">
        <v>1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291</v>
      </c>
      <c r="BD5" t="str">
        <f>CB5&amp;CA5&amp;BIN2HEX(BF5,2)&amp;BZ5</f>
        <v xml:space="preserve"> 0xE0,</v>
      </c>
      <c r="BE5" t="str">
        <f>CB5&amp;BIN2DEC(BF5)&amp;BZ5</f>
        <v>224,</v>
      </c>
      <c r="BF5" t="str">
        <f>BG5&amp;BH5&amp;BI5&amp;BJ5&amp;BK5&amp;BL5&amp;BM5&amp;BN5</f>
        <v>11100000</v>
      </c>
      <c r="BG5">
        <v>1</v>
      </c>
      <c r="BH5">
        <v>1</v>
      </c>
      <c r="BI5">
        <v>1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0x1F,</v>
      </c>
      <c r="AD6" t="str">
        <f t="shared" ref="AD6:AD20" si="7">BA6&amp;BIN2DEC(AE6)&amp;AY6</f>
        <v>31,</v>
      </c>
      <c r="AE6" t="str">
        <f t="shared" ref="AE6:AE20" si="8">AF6&amp;AG6&amp;AH6&amp;AI6&amp;AJ6&amp;AK6&amp;AL6&amp;AM6</f>
        <v>00011111</v>
      </c>
      <c r="AF6">
        <v>0</v>
      </c>
      <c r="AG6">
        <v>0</v>
      </c>
      <c r="AH6">
        <v>0</v>
      </c>
      <c r="AI6">
        <v>1</v>
      </c>
      <c r="AJ6">
        <v>1</v>
      </c>
      <c r="AK6">
        <v>1</v>
      </c>
      <c r="AL6">
        <v>1</v>
      </c>
      <c r="AM6">
        <v>1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0xE0,</v>
      </c>
      <c r="BE6" t="str">
        <f t="shared" ref="BE6:BE20" si="13">CB6&amp;BIN2DEC(BF6)&amp;BZ6</f>
        <v>224,</v>
      </c>
      <c r="BF6" t="str">
        <f t="shared" ref="BF6:BF20" si="14">BG6&amp;BH6&amp;BI6&amp;BJ6&amp;BK6&amp;BL6&amp;BM6&amp;BN6</f>
        <v>11100000</v>
      </c>
      <c r="BG6">
        <v>1</v>
      </c>
      <c r="BH6">
        <v>1</v>
      </c>
      <c r="BI6">
        <v>1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0x3C,</v>
      </c>
      <c r="AD7" t="str">
        <f t="shared" si="7"/>
        <v>60,</v>
      </c>
      <c r="AE7" t="str">
        <f t="shared" si="8"/>
        <v>00111100</v>
      </c>
      <c r="AF7">
        <v>0</v>
      </c>
      <c r="AG7">
        <v>0</v>
      </c>
      <c r="AH7">
        <v>1</v>
      </c>
      <c r="AI7">
        <v>1</v>
      </c>
      <c r="AJ7">
        <v>1</v>
      </c>
      <c r="AK7">
        <v>1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0xE0,</v>
      </c>
      <c r="BE7" t="str">
        <f t="shared" si="13"/>
        <v>224,</v>
      </c>
      <c r="BF7" t="str">
        <f t="shared" si="14"/>
        <v>11100000</v>
      </c>
      <c r="BG7">
        <v>1</v>
      </c>
      <c r="BH7">
        <v>1</v>
      </c>
      <c r="BI7">
        <v>1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0x38,</v>
      </c>
      <c r="AD8" t="str">
        <f t="shared" si="7"/>
        <v>56,</v>
      </c>
      <c r="AE8" t="str">
        <f t="shared" si="8"/>
        <v>00111000</v>
      </c>
      <c r="AF8">
        <v>0</v>
      </c>
      <c r="AG8">
        <v>0</v>
      </c>
      <c r="AH8">
        <v>1</v>
      </c>
      <c r="AI8">
        <v>1</v>
      </c>
      <c r="AJ8">
        <v>1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0xE0,</v>
      </c>
      <c r="BE8" t="str">
        <f t="shared" si="13"/>
        <v>224,</v>
      </c>
      <c r="BF8" t="str">
        <f t="shared" si="14"/>
        <v>11100000</v>
      </c>
      <c r="BG8">
        <v>1</v>
      </c>
      <c r="BH8">
        <v>1</v>
      </c>
      <c r="BI8">
        <v>1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0xFF,</v>
      </c>
      <c r="C9" t="str">
        <f t="shared" si="1"/>
        <v>255,</v>
      </c>
      <c r="D9" t="str">
        <f t="shared" si="2"/>
        <v>11111111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11000000</v>
      </c>
      <c r="V9" t="str">
        <f t="shared" si="4"/>
        <v>192,</v>
      </c>
      <c r="W9" t="str">
        <f t="shared" si="5"/>
        <v xml:space="preserve"> 0xC0,</v>
      </c>
      <c r="X9" t="s">
        <v>0</v>
      </c>
      <c r="Y9" t="s">
        <v>1</v>
      </c>
      <c r="AC9" t="str">
        <f t="shared" si="6"/>
        <v xml:space="preserve"> 0x38,</v>
      </c>
      <c r="AD9" t="str">
        <f t="shared" si="7"/>
        <v>56,</v>
      </c>
      <c r="AE9" t="str">
        <f t="shared" si="8"/>
        <v>00111000</v>
      </c>
      <c r="AF9">
        <v>0</v>
      </c>
      <c r="AG9">
        <v>0</v>
      </c>
      <c r="AH9">
        <v>1</v>
      </c>
      <c r="AI9">
        <v>1</v>
      </c>
      <c r="AJ9">
        <v>1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0xE0,</v>
      </c>
      <c r="BE9" t="str">
        <f t="shared" si="13"/>
        <v>224,</v>
      </c>
      <c r="BF9" t="str">
        <f t="shared" si="14"/>
        <v>11100000</v>
      </c>
      <c r="BG9">
        <v>1</v>
      </c>
      <c r="BH9">
        <v>1</v>
      </c>
      <c r="BI9">
        <v>1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0xFF,</v>
      </c>
      <c r="C10" t="str">
        <f t="shared" si="1"/>
        <v>255,</v>
      </c>
      <c r="D10" t="str">
        <f t="shared" si="2"/>
        <v>11111111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11000000</v>
      </c>
      <c r="V10" t="str">
        <f t="shared" si="4"/>
        <v>192,</v>
      </c>
      <c r="W10" t="str">
        <f t="shared" si="5"/>
        <v xml:space="preserve"> 0xC0,</v>
      </c>
      <c r="X10" t="s">
        <v>0</v>
      </c>
      <c r="Y10" t="s">
        <v>1</v>
      </c>
      <c r="AC10" t="str">
        <f t="shared" si="6"/>
        <v xml:space="preserve"> 0x38,</v>
      </c>
      <c r="AD10" t="str">
        <f t="shared" si="7"/>
        <v>56,</v>
      </c>
      <c r="AE10" t="str">
        <f t="shared" si="8"/>
        <v>00111000</v>
      </c>
      <c r="AF10">
        <v>0</v>
      </c>
      <c r="AG10">
        <v>0</v>
      </c>
      <c r="AH10">
        <v>1</v>
      </c>
      <c r="AI10">
        <v>1</v>
      </c>
      <c r="AJ10">
        <v>1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0xE0,</v>
      </c>
      <c r="BE10" t="str">
        <f t="shared" si="13"/>
        <v>224,</v>
      </c>
      <c r="BF10" t="str">
        <f t="shared" si="14"/>
        <v>11100000</v>
      </c>
      <c r="BG10">
        <v>1</v>
      </c>
      <c r="BH10">
        <v>1</v>
      </c>
      <c r="BI10">
        <v>1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0xC1,</v>
      </c>
      <c r="C11" t="str">
        <f t="shared" si="1"/>
        <v>193,</v>
      </c>
      <c r="D11" t="str">
        <f t="shared" si="2"/>
        <v>11000001</v>
      </c>
      <c r="E11">
        <v>1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11000000</v>
      </c>
      <c r="V11" t="str">
        <f t="shared" si="4"/>
        <v>192,</v>
      </c>
      <c r="W11" t="str">
        <f t="shared" si="5"/>
        <v xml:space="preserve"> 0xC0,</v>
      </c>
      <c r="X11" t="s">
        <v>0</v>
      </c>
      <c r="Y11" t="s">
        <v>1</v>
      </c>
      <c r="AC11" t="str">
        <f t="shared" si="6"/>
        <v xml:space="preserve"> 0x78,</v>
      </c>
      <c r="AD11" t="str">
        <f t="shared" si="7"/>
        <v>120,</v>
      </c>
      <c r="AE11" t="str">
        <f t="shared" si="8"/>
        <v>01111000</v>
      </c>
      <c r="AF11">
        <v>0</v>
      </c>
      <c r="AG11">
        <v>1</v>
      </c>
      <c r="AH11">
        <v>1</v>
      </c>
      <c r="AI11">
        <v>1</v>
      </c>
      <c r="AJ11">
        <v>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0xE0,</v>
      </c>
      <c r="BE11" t="str">
        <f t="shared" si="13"/>
        <v>224,</v>
      </c>
      <c r="BF11" t="str">
        <f t="shared" si="14"/>
        <v>11100000</v>
      </c>
      <c r="BG11">
        <v>1</v>
      </c>
      <c r="BH11">
        <v>1</v>
      </c>
      <c r="BI11">
        <v>1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0x03,</v>
      </c>
      <c r="C12" t="str">
        <f t="shared" si="1"/>
        <v>3,</v>
      </c>
      <c r="D12" t="str">
        <f t="shared" si="2"/>
        <v>00000011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1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10000000</v>
      </c>
      <c r="V12" t="str">
        <f t="shared" si="4"/>
        <v>128,</v>
      </c>
      <c r="W12" t="str">
        <f t="shared" si="5"/>
        <v xml:space="preserve"> 0x80,</v>
      </c>
      <c r="X12" t="s">
        <v>0</v>
      </c>
      <c r="Y12" t="s">
        <v>1</v>
      </c>
      <c r="AC12" t="str">
        <f t="shared" si="6"/>
        <v xml:space="preserve"> 0xF0,</v>
      </c>
      <c r="AD12" t="str">
        <f t="shared" si="7"/>
        <v>240,</v>
      </c>
      <c r="AE12" t="str">
        <f t="shared" si="8"/>
        <v>11110000</v>
      </c>
      <c r="AF12">
        <v>1</v>
      </c>
      <c r="AG12">
        <v>1</v>
      </c>
      <c r="AH12">
        <v>1</v>
      </c>
      <c r="AI12">
        <v>1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0xE0,</v>
      </c>
      <c r="BE12" t="str">
        <f t="shared" si="13"/>
        <v>224,</v>
      </c>
      <c r="BF12" t="str">
        <f t="shared" si="14"/>
        <v>11100000</v>
      </c>
      <c r="BG12">
        <v>1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0x07,</v>
      </c>
      <c r="C13" t="str">
        <f t="shared" si="1"/>
        <v>7,</v>
      </c>
      <c r="D13" t="str">
        <f t="shared" si="2"/>
        <v>00000111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0xF0,</v>
      </c>
      <c r="AD13" t="str">
        <f t="shared" si="7"/>
        <v>240,</v>
      </c>
      <c r="AE13" t="str">
        <f t="shared" si="8"/>
        <v>11110000</v>
      </c>
      <c r="AF13">
        <v>1</v>
      </c>
      <c r="AG13">
        <v>1</v>
      </c>
      <c r="AH13">
        <v>1</v>
      </c>
      <c r="AI13">
        <v>1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0xE0,</v>
      </c>
      <c r="BE13" t="str">
        <f t="shared" si="13"/>
        <v>224,</v>
      </c>
      <c r="BF13" t="str">
        <f t="shared" si="14"/>
        <v>11100000</v>
      </c>
      <c r="BG13">
        <v>1</v>
      </c>
      <c r="BH13">
        <v>1</v>
      </c>
      <c r="BI13">
        <v>1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0x0E,</v>
      </c>
      <c r="C14" t="str">
        <f t="shared" si="1"/>
        <v>14,</v>
      </c>
      <c r="D14" t="str">
        <f t="shared" si="2"/>
        <v>00001110</v>
      </c>
      <c r="E14">
        <v>0</v>
      </c>
      <c r="F14">
        <v>0</v>
      </c>
      <c r="G14">
        <v>0</v>
      </c>
      <c r="H14">
        <v>0</v>
      </c>
      <c r="I14">
        <v>1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0x78,</v>
      </c>
      <c r="AD14" t="str">
        <f t="shared" si="7"/>
        <v>120,</v>
      </c>
      <c r="AE14" t="str">
        <f t="shared" si="8"/>
        <v>01111000</v>
      </c>
      <c r="AF14">
        <v>0</v>
      </c>
      <c r="AG14">
        <v>1</v>
      </c>
      <c r="AH14">
        <v>1</v>
      </c>
      <c r="AI14">
        <v>1</v>
      </c>
      <c r="AJ14">
        <v>1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0xE0,</v>
      </c>
      <c r="BE14" t="str">
        <f t="shared" si="13"/>
        <v>224,</v>
      </c>
      <c r="BF14" t="str">
        <f t="shared" si="14"/>
        <v>11100000</v>
      </c>
      <c r="BG14">
        <v>1</v>
      </c>
      <c r="BH14">
        <v>1</v>
      </c>
      <c r="BI14">
        <v>1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0x1C,</v>
      </c>
      <c r="C15" t="str">
        <f t="shared" si="1"/>
        <v>28,</v>
      </c>
      <c r="D15" t="str">
        <f t="shared" si="2"/>
        <v>00011100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0x38,</v>
      </c>
      <c r="AD15" t="str">
        <f t="shared" si="7"/>
        <v>56,</v>
      </c>
      <c r="AE15" t="str">
        <f t="shared" si="8"/>
        <v>00111000</v>
      </c>
      <c r="AF15">
        <v>0</v>
      </c>
      <c r="AG15">
        <v>0</v>
      </c>
      <c r="AH15">
        <v>1</v>
      </c>
      <c r="AI15">
        <v>1</v>
      </c>
      <c r="AJ15">
        <v>1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0xE0,</v>
      </c>
      <c r="BE15" t="str">
        <f t="shared" si="13"/>
        <v>224,</v>
      </c>
      <c r="BF15" t="str">
        <f t="shared" si="14"/>
        <v>11100000</v>
      </c>
      <c r="BG15">
        <v>1</v>
      </c>
      <c r="BH15">
        <v>1</v>
      </c>
      <c r="BI15">
        <v>1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0x38,</v>
      </c>
      <c r="C16" t="str">
        <f t="shared" si="1"/>
        <v>56,</v>
      </c>
      <c r="D16" t="str">
        <f t="shared" si="2"/>
        <v>00111000</v>
      </c>
      <c r="E16">
        <v>0</v>
      </c>
      <c r="F16">
        <v>0</v>
      </c>
      <c r="G16">
        <v>1</v>
      </c>
      <c r="H16">
        <v>1</v>
      </c>
      <c r="I16">
        <v>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0x38,</v>
      </c>
      <c r="AD16" t="str">
        <f t="shared" si="7"/>
        <v>56,</v>
      </c>
      <c r="AE16" t="str">
        <f t="shared" si="8"/>
        <v>00111000</v>
      </c>
      <c r="AF16">
        <v>0</v>
      </c>
      <c r="AG16">
        <v>0</v>
      </c>
      <c r="AH16">
        <v>1</v>
      </c>
      <c r="AI16">
        <v>1</v>
      </c>
      <c r="AJ16">
        <v>1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0xE0,</v>
      </c>
      <c r="BE16" t="str">
        <f t="shared" si="13"/>
        <v>224,</v>
      </c>
      <c r="BF16" t="str">
        <f t="shared" si="14"/>
        <v>11100000</v>
      </c>
      <c r="BG16">
        <v>1</v>
      </c>
      <c r="BH16">
        <v>1</v>
      </c>
      <c r="BI16">
        <v>1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0x70,</v>
      </c>
      <c r="C17" t="str">
        <f t="shared" si="1"/>
        <v>112,</v>
      </c>
      <c r="D17" t="str">
        <f t="shared" si="2"/>
        <v>01110000</v>
      </c>
      <c r="E17">
        <v>0</v>
      </c>
      <c r="F17">
        <v>1</v>
      </c>
      <c r="G17">
        <v>1</v>
      </c>
      <c r="H17">
        <v>1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0x38,</v>
      </c>
      <c r="AD17" t="str">
        <f t="shared" si="7"/>
        <v>56,</v>
      </c>
      <c r="AE17" t="str">
        <f t="shared" si="8"/>
        <v>00111000</v>
      </c>
      <c r="AF17">
        <v>0</v>
      </c>
      <c r="AG17">
        <v>0</v>
      </c>
      <c r="AH17">
        <v>1</v>
      </c>
      <c r="AI17">
        <v>1</v>
      </c>
      <c r="AJ17">
        <v>1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0xE0,</v>
      </c>
      <c r="BE17" t="str">
        <f t="shared" si="13"/>
        <v>224,</v>
      </c>
      <c r="BF17" t="str">
        <f t="shared" si="14"/>
        <v>11100000</v>
      </c>
      <c r="BG17">
        <v>1</v>
      </c>
      <c r="BH17">
        <v>1</v>
      </c>
      <c r="BI17">
        <v>1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0xE1,</v>
      </c>
      <c r="C18" t="str">
        <f t="shared" si="1"/>
        <v>225,</v>
      </c>
      <c r="D18" t="str">
        <f t="shared" si="2"/>
        <v>11100001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11000000</v>
      </c>
      <c r="V18" t="str">
        <f t="shared" si="4"/>
        <v>192,</v>
      </c>
      <c r="W18" t="str">
        <f t="shared" si="5"/>
        <v xml:space="preserve"> 0xC0,</v>
      </c>
      <c r="X18" t="s">
        <v>0</v>
      </c>
      <c r="Y18" t="s">
        <v>1</v>
      </c>
      <c r="AC18" t="str">
        <f t="shared" si="6"/>
        <v xml:space="preserve"> 0x3C,</v>
      </c>
      <c r="AD18" t="str">
        <f t="shared" si="7"/>
        <v>60,</v>
      </c>
      <c r="AE18" t="str">
        <f t="shared" si="8"/>
        <v>00111100</v>
      </c>
      <c r="AF18">
        <v>0</v>
      </c>
      <c r="AG18">
        <v>0</v>
      </c>
      <c r="AH18">
        <v>1</v>
      </c>
      <c r="AI18">
        <v>1</v>
      </c>
      <c r="AJ18">
        <v>1</v>
      </c>
      <c r="AK18">
        <v>1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0xE0,</v>
      </c>
      <c r="BE18" t="str">
        <f t="shared" si="13"/>
        <v>224,</v>
      </c>
      <c r="BF18" t="str">
        <f t="shared" si="14"/>
        <v>11100000</v>
      </c>
      <c r="BG18">
        <v>1</v>
      </c>
      <c r="BH18">
        <v>1</v>
      </c>
      <c r="BI18">
        <v>1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0xFF,</v>
      </c>
      <c r="C19" t="str">
        <f t="shared" si="1"/>
        <v>255,</v>
      </c>
      <c r="D19" t="str">
        <f t="shared" si="2"/>
        <v>11111111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11000000</v>
      </c>
      <c r="V19" t="str">
        <f t="shared" si="4"/>
        <v>192,</v>
      </c>
      <c r="W19" t="str">
        <f t="shared" si="5"/>
        <v xml:space="preserve"> 0xC0,</v>
      </c>
      <c r="X19" t="s">
        <v>0</v>
      </c>
      <c r="Y19" t="s">
        <v>1</v>
      </c>
      <c r="AC19" t="str">
        <f t="shared" si="6"/>
        <v xml:space="preserve"> 0x1F,</v>
      </c>
      <c r="AD19" t="str">
        <f t="shared" si="7"/>
        <v>31,</v>
      </c>
      <c r="AE19" t="str">
        <f t="shared" si="8"/>
        <v>00011111</v>
      </c>
      <c r="AF19">
        <v>0</v>
      </c>
      <c r="AG19">
        <v>0</v>
      </c>
      <c r="AH19">
        <v>0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0xE0,</v>
      </c>
      <c r="BE19" t="str">
        <f t="shared" si="13"/>
        <v>224,</v>
      </c>
      <c r="BF19" t="str">
        <f t="shared" si="14"/>
        <v>11100000</v>
      </c>
      <c r="BG19">
        <v>1</v>
      </c>
      <c r="BH19">
        <v>1</v>
      </c>
      <c r="BI19">
        <v>1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0xFF,</v>
      </c>
      <c r="C20" t="str">
        <f t="shared" si="1"/>
        <v>255,</v>
      </c>
      <c r="D20" t="str">
        <f t="shared" si="2"/>
        <v>11111111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11000000</v>
      </c>
      <c r="V20" t="str">
        <f t="shared" si="4"/>
        <v>192,</v>
      </c>
      <c r="W20" t="str">
        <f t="shared" si="5"/>
        <v xml:space="preserve"> 0xC0,</v>
      </c>
      <c r="X20" t="s">
        <v>0</v>
      </c>
      <c r="Y20" t="s">
        <v>1</v>
      </c>
      <c r="AC20" t="str">
        <f t="shared" si="6"/>
        <v xml:space="preserve"> 0x0F,</v>
      </c>
      <c r="AD20" t="str">
        <f t="shared" si="7"/>
        <v>15,</v>
      </c>
      <c r="AE20" t="str">
        <f t="shared" si="8"/>
        <v>00001111</v>
      </c>
      <c r="AF20">
        <v>0</v>
      </c>
      <c r="AG20">
        <v>0</v>
      </c>
      <c r="AH20">
        <v>0</v>
      </c>
      <c r="AI20">
        <v>0</v>
      </c>
      <c r="AJ20">
        <v>1</v>
      </c>
      <c r="AK20">
        <v>1</v>
      </c>
      <c r="AL20">
        <v>1</v>
      </c>
      <c r="AM20">
        <v>1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0xE0,</v>
      </c>
      <c r="BE20" t="str">
        <f t="shared" si="13"/>
        <v>224,</v>
      </c>
      <c r="BF20" t="str">
        <f t="shared" si="14"/>
        <v>11100000</v>
      </c>
      <c r="BG20">
        <v>1</v>
      </c>
      <c r="BH20">
        <v>1</v>
      </c>
      <c r="BI20">
        <v>1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10,</v>
      </c>
      <c r="V22" t="str">
        <f>Y20&amp;DEC2HEX(U22,2)&amp;X20</f>
        <v xml:space="preserve"> 0x0A,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8,</v>
      </c>
      <c r="AW22" t="str">
        <f>AZ20&amp;DEC2HEX(AV22,2)&amp;AY20</f>
        <v xml:space="preserve"> 0x08,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0</v>
      </c>
      <c r="BK22">
        <f t="shared" si="20"/>
        <v>0</v>
      </c>
      <c r="BL22">
        <f t="shared" si="20"/>
        <v>0</v>
      </c>
      <c r="BM22">
        <f t="shared" si="20"/>
        <v>0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3,</v>
      </c>
      <c r="BX22" t="str">
        <f>CA20&amp;DEC2HEX(BW22,2)&amp;BZ20</f>
        <v xml:space="preserve"> 0x03,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10,0,0,0,0,0,0,0,0,255,192,255,192,193,192,3,128,7,0,14,0,28,0,56,0,112,0,225,192,255,192,255,192,//z//122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8,15,0,31,0,60,0,56,0,56,0,56,0,120,0,240,0,240,0,120,0,56,0,56,0,56,0,60,0,31,0,15,0,//{//123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3,224,0,224,0,224,0,224,0,224,0,224,0,224,0,224,0,224,0,224,0,224,0,224,0,224,0,224,0,224,0,224,0,//|//124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0x0A, 0x00, 0x00, 0x00, 0x00, 0x00, 0x00, 0x00, 0x00, 0xFF, 0xC0, 0xFF, 0xC0, 0xC1, 0xC0, 0x03, 0x80, 0x07, 0x00, 0x0E, 0x00, 0x1C, 0x00, 0x38, 0x00, 0x70, 0x00, 0xE1, 0xC0, 0xFF, 0xC0, 0xFF, 0xC0,//z//122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0x08, 0x0F, 0x00, 0x1F, 0x00, 0x3C, 0x00, 0x38, 0x00, 0x38, 0x00, 0x38, 0x00, 0x78, 0x00, 0xF0, 0x00, 0xF0, 0x00, 0x78, 0x00, 0x38, 0x00, 0x38, 0x00, 0x38, 0x00, 0x3C, 0x00, 0x1F, 0x00, 0x0F, 0x00,//{//123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0x03, 0xE0, 0x00, 0xE0, 0x00, 0xE0, 0x00, 0xE0, 0x00, 0xE0, 0x00, 0xE0, 0x00, 0xE0, 0x00, 0xE0, 0x00, 0xE0, 0x00, 0xE0, 0x00, 0xE0, 0x00, 0xE0, 0x00, 0xE0, 0x00, 0xE0, 0x00, 0xE0, 0x00, 0xE0, 0x00,//|//124</v>
      </c>
    </row>
    <row r="28" spans="1:79">
      <c r="A28" s="1" t="str">
        <f>$B$24</f>
        <v>10,0,0,0,0,0,0,0,0,255,192,255,192,193,192,3,128,7,0,14,0,28,0,56,0,112,0,225,192,255,192,255,192,//z//122</v>
      </c>
      <c r="E28" t="s">
        <v>4</v>
      </c>
      <c r="AB28" s="1" t="str">
        <f>$AC$24</f>
        <v>8,15,0,31,0,60,0,56,0,56,0,56,0,120,0,240,0,240,0,120,0,56,0,56,0,56,0,60,0,31,0,15,0,//{//123</v>
      </c>
      <c r="AF28" t="s">
        <v>4</v>
      </c>
      <c r="BC28" s="1" t="str">
        <f>$BD$24</f>
        <v>3,224,0,224,0,224,0,224,0,224,0,224,0,224,0,224,0,224,0,224,0,224,0,224,0,224,0,224,0,224,0,224,0,//|//124</v>
      </c>
      <c r="BG28" t="s">
        <v>4</v>
      </c>
    </row>
    <row r="29" spans="1:79">
      <c r="A29" s="2" t="str">
        <f>$B$25</f>
        <v xml:space="preserve"> 0x0A, 0x00, 0x00, 0x00, 0x00, 0x00, 0x00, 0x00, 0x00, 0xFF, 0xC0, 0xFF, 0xC0, 0xC1, 0xC0, 0x03, 0x80, 0x07, 0x00, 0x0E, 0x00, 0x1C, 0x00, 0x38, 0x00, 0x70, 0x00, 0xE1, 0xC0, 0xFF, 0xC0, 0xFF, 0xC0,//z//122</v>
      </c>
      <c r="E29" t="s">
        <v>3</v>
      </c>
      <c r="AB29" s="2" t="str">
        <f>$AC$25</f>
        <v xml:space="preserve"> 0x08, 0x0F, 0x00, 0x1F, 0x00, 0x3C, 0x00, 0x38, 0x00, 0x38, 0x00, 0x38, 0x00, 0x78, 0x00, 0xF0, 0x00, 0xF0, 0x00, 0x78, 0x00, 0x38, 0x00, 0x38, 0x00, 0x38, 0x00, 0x3C, 0x00, 0x1F, 0x00, 0x0F, 0x00,//{//123</v>
      </c>
      <c r="AF29" t="s">
        <v>3</v>
      </c>
      <c r="BC29" s="2" t="str">
        <f>$BD$25</f>
        <v xml:space="preserve"> 0x03, 0xE0, 0x00, 0xE0, 0x00, 0xE0, 0x00, 0xE0, 0x00, 0xE0, 0x00, 0xE0, 0x00, 0xE0, 0x00, 0xE0, 0x00, 0xE0, 0x00, 0xE0, 0x00, 0xE0, 0x00, 0xE0, 0x00, 0xE0, 0x00, 0xE0, 0x00, 0xE0, 0x00, 0xE0, 0x00,//|//124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18:N19 H8:L12 E5:N5 H13:K15 M8:N17 G8:G17 L13:L17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7 N18 M18:M19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10" priority="11" operator="greaterThan">
      <formula>1</formula>
    </cfRule>
  </conditionalFormatting>
  <conditionalFormatting sqref="AH6:AO7 AH18:AO19 AF5:AO5 AF6:AG20 AH8:AM17 AH20:AI20 AK20:AM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19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9" priority="6" operator="greaterThan">
      <formula>1</formula>
    </cfRule>
  </conditionalFormatting>
  <conditionalFormatting sqref="BI6:BP7 BI18:BP19 BJ8:BN12 BG5:BP5 BJ13:BM15 BI8:BI17 BI20 BG6:BH20 BJ16:BK17 BN13:BN17 BO8:BP17 BN20:BP20 BL16:BM16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8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Лист23"/>
  <dimension ref="A4:CB29"/>
  <sheetViews>
    <sheetView workbookViewId="0">
      <selection activeCell="M30" sqref="M30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125</v>
      </c>
      <c r="Z4" t="s">
        <v>5</v>
      </c>
      <c r="AB4" s="3">
        <v>126</v>
      </c>
      <c r="BA4" t="s">
        <v>5</v>
      </c>
      <c r="BC4" s="3">
        <v>127</v>
      </c>
      <c r="CB4" t="s">
        <v>5</v>
      </c>
    </row>
    <row r="5" spans="1:80">
      <c r="A5" s="3" t="s">
        <v>292</v>
      </c>
      <c r="B5" t="str">
        <f>Z5&amp;Y5&amp;BIN2HEX(D5,2)&amp;X5</f>
        <v xml:space="preserve"> 0xF0,</v>
      </c>
      <c r="C5" t="str">
        <f>Z5&amp;BIN2DEC(D5)&amp;X5</f>
        <v>240,</v>
      </c>
      <c r="D5" t="str">
        <f>E5&amp;F5&amp;G5&amp;H5&amp;I5&amp;J5&amp;K5&amp;L5</f>
        <v>11110000</v>
      </c>
      <c r="E5">
        <v>1</v>
      </c>
      <c r="F5">
        <v>1</v>
      </c>
      <c r="G5">
        <v>1</v>
      </c>
      <c r="H5">
        <v>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293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>
        <v>0</v>
      </c>
      <c r="BD5" t="str">
        <f>CB5&amp;CA5&amp;BIN2HEX(BF5,2)&amp;BZ5</f>
        <v xml:space="preserve"> 0xFF,</v>
      </c>
      <c r="BE5" t="str">
        <f>CB5&amp;BIN2DEC(BF5)&amp;BZ5</f>
        <v>255,</v>
      </c>
      <c r="BF5" t="str">
        <f>BG5&amp;BH5&amp;BI5&amp;BJ5&amp;BK5&amp;BL5&amp;BM5&amp;BN5</f>
        <v>11111111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10000000</v>
      </c>
      <c r="BX5" t="str">
        <f>CB5&amp;BIN2DEC(BW5)&amp;BZ5</f>
        <v>128,</v>
      </c>
      <c r="BY5" t="str">
        <f>CB5&amp;CA5&amp;BIN2HEX(BW5,2)&amp;BZ5</f>
        <v xml:space="preserve"> 0x80,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0xF8,</v>
      </c>
      <c r="C6" t="str">
        <f t="shared" ref="C6:C20" si="1">Z6&amp;BIN2DEC(D6)&amp;X6</f>
        <v>248,</v>
      </c>
      <c r="D6" t="str">
        <f t="shared" ref="D6:D20" si="2">E6&amp;F6&amp;G6&amp;H6&amp;I6&amp;J6&amp;K6&amp;L6</f>
        <v>11111000</v>
      </c>
      <c r="E6">
        <v>1</v>
      </c>
      <c r="F6">
        <v>1</v>
      </c>
      <c r="G6">
        <v>1</v>
      </c>
      <c r="H6">
        <v>1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0xFF,</v>
      </c>
      <c r="BE6" t="str">
        <f t="shared" ref="BE6:BE20" si="13">CB6&amp;BIN2DEC(BF6)&amp;BZ6</f>
        <v>255,</v>
      </c>
      <c r="BF6" t="str">
        <f t="shared" ref="BF6:BF20" si="14">BG6&amp;BH6&amp;BI6&amp;BJ6&amp;BK6&amp;BL6&amp;BM6&amp;BN6</f>
        <v>11111111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10000000</v>
      </c>
      <c r="BX6" t="str">
        <f t="shared" ref="BX6:BX20" si="16">CB6&amp;BIN2DEC(BW6)&amp;BZ6</f>
        <v>128,</v>
      </c>
      <c r="BY6" t="str">
        <f t="shared" ref="BY6:BY20" si="17">CB6&amp;CA6&amp;BIN2HEX(BW6,2)&amp;BZ6</f>
        <v xml:space="preserve"> 0x80,</v>
      </c>
      <c r="BZ6" t="s">
        <v>0</v>
      </c>
      <c r="CA6" t="s">
        <v>1</v>
      </c>
    </row>
    <row r="7" spans="1:80">
      <c r="B7" t="str">
        <f t="shared" si="0"/>
        <v xml:space="preserve"> 0x3C,</v>
      </c>
      <c r="C7" t="str">
        <f t="shared" si="1"/>
        <v>60,</v>
      </c>
      <c r="D7" t="str">
        <f t="shared" si="2"/>
        <v>00111100</v>
      </c>
      <c r="E7">
        <v>0</v>
      </c>
      <c r="F7">
        <v>0</v>
      </c>
      <c r="G7">
        <v>1</v>
      </c>
      <c r="H7">
        <v>1</v>
      </c>
      <c r="I7">
        <v>1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0xE3,</v>
      </c>
      <c r="BE7" t="str">
        <f t="shared" si="13"/>
        <v>227,</v>
      </c>
      <c r="BF7" t="str">
        <f t="shared" si="14"/>
        <v>11100011</v>
      </c>
      <c r="BG7">
        <v>1</v>
      </c>
      <c r="BH7">
        <v>1</v>
      </c>
      <c r="BI7">
        <v>1</v>
      </c>
      <c r="BJ7">
        <v>0</v>
      </c>
      <c r="BK7">
        <v>0</v>
      </c>
      <c r="BL7">
        <v>0</v>
      </c>
      <c r="BM7">
        <v>1</v>
      </c>
      <c r="BN7">
        <v>1</v>
      </c>
      <c r="BO7">
        <v>1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10000000</v>
      </c>
      <c r="BX7" t="str">
        <f t="shared" si="16"/>
        <v>128,</v>
      </c>
      <c r="BY7" t="str">
        <f t="shared" si="17"/>
        <v xml:space="preserve"> 0x80,</v>
      </c>
      <c r="BZ7" t="s">
        <v>0</v>
      </c>
      <c r="CA7" t="s">
        <v>1</v>
      </c>
    </row>
    <row r="8" spans="1:80">
      <c r="B8" t="str">
        <f t="shared" si="0"/>
        <v xml:space="preserve"> 0x1C,</v>
      </c>
      <c r="C8" t="str">
        <f t="shared" si="1"/>
        <v>28,</v>
      </c>
      <c r="D8" t="str">
        <f t="shared" si="2"/>
        <v>00011100</v>
      </c>
      <c r="E8">
        <v>0</v>
      </c>
      <c r="F8">
        <v>0</v>
      </c>
      <c r="G8">
        <v>0</v>
      </c>
      <c r="H8">
        <v>1</v>
      </c>
      <c r="I8">
        <v>1</v>
      </c>
      <c r="J8">
        <v>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0xE3,</v>
      </c>
      <c r="BE8" t="str">
        <f t="shared" si="13"/>
        <v>227,</v>
      </c>
      <c r="BF8" t="str">
        <f t="shared" si="14"/>
        <v>11100011</v>
      </c>
      <c r="BG8">
        <v>1</v>
      </c>
      <c r="BH8">
        <v>1</v>
      </c>
      <c r="BI8">
        <v>1</v>
      </c>
      <c r="BJ8">
        <v>0</v>
      </c>
      <c r="BK8">
        <v>0</v>
      </c>
      <c r="BL8">
        <v>0</v>
      </c>
      <c r="BM8">
        <v>1</v>
      </c>
      <c r="BN8">
        <v>1</v>
      </c>
      <c r="BO8">
        <v>1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10000000</v>
      </c>
      <c r="BX8" t="str">
        <f t="shared" si="16"/>
        <v>128,</v>
      </c>
      <c r="BY8" t="str">
        <f t="shared" si="17"/>
        <v xml:space="preserve"> 0x80,</v>
      </c>
      <c r="BZ8" t="s">
        <v>0</v>
      </c>
      <c r="CA8" t="s">
        <v>1</v>
      </c>
    </row>
    <row r="9" spans="1:80">
      <c r="B9" t="str">
        <f t="shared" si="0"/>
        <v xml:space="preserve"> 0x1C,</v>
      </c>
      <c r="C9" t="str">
        <f t="shared" si="1"/>
        <v>28,</v>
      </c>
      <c r="D9" t="str">
        <f t="shared" si="2"/>
        <v>00011100</v>
      </c>
      <c r="E9">
        <v>0</v>
      </c>
      <c r="F9">
        <v>0</v>
      </c>
      <c r="G9">
        <v>0</v>
      </c>
      <c r="H9">
        <v>1</v>
      </c>
      <c r="I9">
        <v>1</v>
      </c>
      <c r="J9">
        <v>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0x00,</v>
      </c>
      <c r="AD9" t="str">
        <f t="shared" si="7"/>
        <v>0,</v>
      </c>
      <c r="AE9" t="str">
        <f t="shared" si="8"/>
        <v>00000000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0xE3,</v>
      </c>
      <c r="BE9" t="str">
        <f t="shared" si="13"/>
        <v>227,</v>
      </c>
      <c r="BF9" t="str">
        <f t="shared" si="14"/>
        <v>11100011</v>
      </c>
      <c r="BG9">
        <v>1</v>
      </c>
      <c r="BH9">
        <v>1</v>
      </c>
      <c r="BI9">
        <v>1</v>
      </c>
      <c r="BJ9">
        <v>0</v>
      </c>
      <c r="BK9">
        <v>0</v>
      </c>
      <c r="BL9">
        <v>0</v>
      </c>
      <c r="BM9">
        <v>1</v>
      </c>
      <c r="BN9">
        <v>1</v>
      </c>
      <c r="BO9">
        <v>1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10000000</v>
      </c>
      <c r="BX9" t="str">
        <f t="shared" si="16"/>
        <v>128,</v>
      </c>
      <c r="BY9" t="str">
        <f t="shared" si="17"/>
        <v xml:space="preserve"> 0x80,</v>
      </c>
      <c r="BZ9" t="s">
        <v>0</v>
      </c>
      <c r="CA9" t="s">
        <v>1</v>
      </c>
    </row>
    <row r="10" spans="1:80">
      <c r="B10" t="str">
        <f t="shared" si="0"/>
        <v xml:space="preserve"> 0x1C,</v>
      </c>
      <c r="C10" t="str">
        <f t="shared" si="1"/>
        <v>28,</v>
      </c>
      <c r="D10" t="str">
        <f t="shared" si="2"/>
        <v>00011100</v>
      </c>
      <c r="E10">
        <v>0</v>
      </c>
      <c r="F10">
        <v>0</v>
      </c>
      <c r="G10">
        <v>0</v>
      </c>
      <c r="H10">
        <v>1</v>
      </c>
      <c r="I10">
        <v>1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0x3C,</v>
      </c>
      <c r="AD10" t="str">
        <f t="shared" si="7"/>
        <v>60,</v>
      </c>
      <c r="AE10" t="str">
        <f t="shared" si="8"/>
        <v>00111100</v>
      </c>
      <c r="AF10">
        <v>0</v>
      </c>
      <c r="AG10">
        <v>0</v>
      </c>
      <c r="AH10">
        <v>1</v>
      </c>
      <c r="AI10">
        <v>1</v>
      </c>
      <c r="AJ10">
        <v>1</v>
      </c>
      <c r="AK10">
        <v>1</v>
      </c>
      <c r="AL10">
        <v>0</v>
      </c>
      <c r="AM10">
        <v>0</v>
      </c>
      <c r="AN10">
        <v>0</v>
      </c>
      <c r="AO10">
        <v>1</v>
      </c>
      <c r="AP10">
        <v>1</v>
      </c>
      <c r="AQ10">
        <v>1</v>
      </c>
      <c r="AR10">
        <v>0</v>
      </c>
      <c r="AS10">
        <v>0</v>
      </c>
      <c r="AT10">
        <v>0</v>
      </c>
      <c r="AU10">
        <v>0</v>
      </c>
      <c r="AV10" t="str">
        <f t="shared" si="9"/>
        <v>01110000</v>
      </c>
      <c r="AW10" t="str">
        <f t="shared" si="10"/>
        <v>112,</v>
      </c>
      <c r="AX10" t="str">
        <f t="shared" si="11"/>
        <v xml:space="preserve"> 0x70,</v>
      </c>
      <c r="AY10" t="s">
        <v>0</v>
      </c>
      <c r="AZ10" t="s">
        <v>1</v>
      </c>
      <c r="BD10" t="str">
        <f t="shared" si="12"/>
        <v xml:space="preserve"> 0xE3,</v>
      </c>
      <c r="BE10" t="str">
        <f t="shared" si="13"/>
        <v>227,</v>
      </c>
      <c r="BF10" t="str">
        <f t="shared" si="14"/>
        <v>11100011</v>
      </c>
      <c r="BG10">
        <v>1</v>
      </c>
      <c r="BH10">
        <v>1</v>
      </c>
      <c r="BI10">
        <v>1</v>
      </c>
      <c r="BJ10">
        <v>0</v>
      </c>
      <c r="BK10">
        <v>0</v>
      </c>
      <c r="BL10">
        <v>0</v>
      </c>
      <c r="BM10">
        <v>1</v>
      </c>
      <c r="BN10">
        <v>1</v>
      </c>
      <c r="BO10">
        <v>1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10000000</v>
      </c>
      <c r="BX10" t="str">
        <f t="shared" si="16"/>
        <v>128,</v>
      </c>
      <c r="BY10" t="str">
        <f t="shared" si="17"/>
        <v xml:space="preserve"> 0x80,</v>
      </c>
      <c r="BZ10" t="s">
        <v>0</v>
      </c>
      <c r="CA10" t="s">
        <v>1</v>
      </c>
    </row>
    <row r="11" spans="1:80">
      <c r="B11" t="str">
        <f t="shared" si="0"/>
        <v xml:space="preserve"> 0x1E,</v>
      </c>
      <c r="C11" t="str">
        <f t="shared" si="1"/>
        <v>30,</v>
      </c>
      <c r="D11" t="str">
        <f t="shared" si="2"/>
        <v>00011110</v>
      </c>
      <c r="E11">
        <v>0</v>
      </c>
      <c r="F11">
        <v>0</v>
      </c>
      <c r="G11">
        <v>0</v>
      </c>
      <c r="H11">
        <v>1</v>
      </c>
      <c r="I11">
        <v>1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0x7E,</v>
      </c>
      <c r="AD11" t="str">
        <f t="shared" si="7"/>
        <v>126,</v>
      </c>
      <c r="AE11" t="str">
        <f t="shared" si="8"/>
        <v>01111110</v>
      </c>
      <c r="AF11">
        <v>0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0</v>
      </c>
      <c r="AN11">
        <v>1</v>
      </c>
      <c r="AO11">
        <v>1</v>
      </c>
      <c r="AP11">
        <v>1</v>
      </c>
      <c r="AQ11">
        <v>1</v>
      </c>
      <c r="AR11">
        <v>0</v>
      </c>
      <c r="AS11">
        <v>0</v>
      </c>
      <c r="AT11">
        <v>0</v>
      </c>
      <c r="AU11">
        <v>0</v>
      </c>
      <c r="AV11" t="str">
        <f t="shared" si="9"/>
        <v>11110000</v>
      </c>
      <c r="AW11" t="str">
        <f t="shared" si="10"/>
        <v>240,</v>
      </c>
      <c r="AX11" t="str">
        <f t="shared" si="11"/>
        <v xml:space="preserve"> 0xF0,</v>
      </c>
      <c r="AY11" t="s">
        <v>0</v>
      </c>
      <c r="AZ11" t="s">
        <v>1</v>
      </c>
      <c r="BD11" t="str">
        <f t="shared" si="12"/>
        <v xml:space="preserve"> 0xE3,</v>
      </c>
      <c r="BE11" t="str">
        <f t="shared" si="13"/>
        <v>227,</v>
      </c>
      <c r="BF11" t="str">
        <f t="shared" si="14"/>
        <v>11100011</v>
      </c>
      <c r="BG11">
        <v>1</v>
      </c>
      <c r="BH11">
        <v>1</v>
      </c>
      <c r="BI11">
        <v>1</v>
      </c>
      <c r="BJ11">
        <v>0</v>
      </c>
      <c r="BK11">
        <v>0</v>
      </c>
      <c r="BL11">
        <v>0</v>
      </c>
      <c r="BM11">
        <v>1</v>
      </c>
      <c r="BN11">
        <v>1</v>
      </c>
      <c r="BO11">
        <v>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10000000</v>
      </c>
      <c r="BX11" t="str">
        <f t="shared" si="16"/>
        <v>128,</v>
      </c>
      <c r="BY11" t="str">
        <f t="shared" si="17"/>
        <v xml:space="preserve"> 0x80,</v>
      </c>
      <c r="BZ11" t="s">
        <v>0</v>
      </c>
      <c r="CA11" t="s">
        <v>1</v>
      </c>
    </row>
    <row r="12" spans="1:80">
      <c r="B12" t="str">
        <f t="shared" si="0"/>
        <v xml:space="preserve"> 0x0F,</v>
      </c>
      <c r="C12" t="str">
        <f t="shared" si="1"/>
        <v>15,</v>
      </c>
      <c r="D12" t="str">
        <f t="shared" si="2"/>
        <v>00001111</v>
      </c>
      <c r="E12">
        <v>0</v>
      </c>
      <c r="F12">
        <v>0</v>
      </c>
      <c r="G12">
        <v>0</v>
      </c>
      <c r="H12">
        <v>0</v>
      </c>
      <c r="I12">
        <v>1</v>
      </c>
      <c r="J12">
        <v>1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0xF7,</v>
      </c>
      <c r="AD12" t="str">
        <f t="shared" si="7"/>
        <v>247,</v>
      </c>
      <c r="AE12" t="str">
        <f t="shared" si="8"/>
        <v>11110111</v>
      </c>
      <c r="AF12">
        <v>1</v>
      </c>
      <c r="AG12">
        <v>1</v>
      </c>
      <c r="AH12">
        <v>1</v>
      </c>
      <c r="AI12">
        <v>1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11100000</v>
      </c>
      <c r="AW12" t="str">
        <f t="shared" si="10"/>
        <v>224,</v>
      </c>
      <c r="AX12" t="str">
        <f t="shared" si="11"/>
        <v xml:space="preserve"> 0xE0,</v>
      </c>
      <c r="AY12" t="s">
        <v>0</v>
      </c>
      <c r="AZ12" t="s">
        <v>1</v>
      </c>
      <c r="BD12" t="str">
        <f t="shared" si="12"/>
        <v xml:space="preserve"> 0xE3,</v>
      </c>
      <c r="BE12" t="str">
        <f t="shared" si="13"/>
        <v>227,</v>
      </c>
      <c r="BF12" t="str">
        <f t="shared" si="14"/>
        <v>11100011</v>
      </c>
      <c r="BG12">
        <v>1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1</v>
      </c>
      <c r="BN12">
        <v>1</v>
      </c>
      <c r="BO12">
        <v>1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10000000</v>
      </c>
      <c r="BX12" t="str">
        <f t="shared" si="16"/>
        <v>128,</v>
      </c>
      <c r="BY12" t="str">
        <f t="shared" si="17"/>
        <v xml:space="preserve"> 0x80,</v>
      </c>
      <c r="BZ12" t="s">
        <v>0</v>
      </c>
      <c r="CA12" t="s">
        <v>1</v>
      </c>
    </row>
    <row r="13" spans="1:80">
      <c r="B13" t="str">
        <f t="shared" si="0"/>
        <v xml:space="preserve"> 0x0F,</v>
      </c>
      <c r="C13" t="str">
        <f t="shared" si="1"/>
        <v>15,</v>
      </c>
      <c r="D13" t="str">
        <f t="shared" si="2"/>
        <v>00001111</v>
      </c>
      <c r="E13">
        <v>0</v>
      </c>
      <c r="F13">
        <v>0</v>
      </c>
      <c r="G13">
        <v>0</v>
      </c>
      <c r="H13">
        <v>0</v>
      </c>
      <c r="I13">
        <v>1</v>
      </c>
      <c r="J13">
        <v>1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0xE3,</v>
      </c>
      <c r="AD13" t="str">
        <f t="shared" si="7"/>
        <v>227,</v>
      </c>
      <c r="AE13" t="str">
        <f t="shared" si="8"/>
        <v>11100011</v>
      </c>
      <c r="AF13">
        <v>1</v>
      </c>
      <c r="AG13">
        <v>1</v>
      </c>
      <c r="AH13">
        <v>1</v>
      </c>
      <c r="AI13">
        <v>0</v>
      </c>
      <c r="AJ13">
        <v>0</v>
      </c>
      <c r="AK13">
        <v>0</v>
      </c>
      <c r="AL13">
        <v>1</v>
      </c>
      <c r="AM13">
        <v>1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11000000</v>
      </c>
      <c r="AW13" t="str">
        <f t="shared" si="10"/>
        <v>192,</v>
      </c>
      <c r="AX13" t="str">
        <f t="shared" si="11"/>
        <v xml:space="preserve"> 0xC0,</v>
      </c>
      <c r="AY13" t="s">
        <v>0</v>
      </c>
      <c r="AZ13" t="s">
        <v>1</v>
      </c>
      <c r="BD13" t="str">
        <f t="shared" si="12"/>
        <v xml:space="preserve"> 0xE3,</v>
      </c>
      <c r="BE13" t="str">
        <f t="shared" si="13"/>
        <v>227,</v>
      </c>
      <c r="BF13" t="str">
        <f t="shared" si="14"/>
        <v>11100011</v>
      </c>
      <c r="BG13">
        <v>1</v>
      </c>
      <c r="BH13">
        <v>1</v>
      </c>
      <c r="BI13">
        <v>1</v>
      </c>
      <c r="BJ13">
        <v>0</v>
      </c>
      <c r="BK13">
        <v>0</v>
      </c>
      <c r="BL13">
        <v>0</v>
      </c>
      <c r="BM13">
        <v>1</v>
      </c>
      <c r="BN13">
        <v>1</v>
      </c>
      <c r="BO13">
        <v>1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10000000</v>
      </c>
      <c r="BX13" t="str">
        <f t="shared" si="16"/>
        <v>128,</v>
      </c>
      <c r="BY13" t="str">
        <f t="shared" si="17"/>
        <v xml:space="preserve"> 0x80,</v>
      </c>
      <c r="BZ13" t="s">
        <v>0</v>
      </c>
      <c r="CA13" t="s">
        <v>1</v>
      </c>
    </row>
    <row r="14" spans="1:80">
      <c r="B14" t="str">
        <f t="shared" si="0"/>
        <v xml:space="preserve"> 0x1E,</v>
      </c>
      <c r="C14" t="str">
        <f t="shared" si="1"/>
        <v>30,</v>
      </c>
      <c r="D14" t="str">
        <f t="shared" si="2"/>
        <v>00011110</v>
      </c>
      <c r="E14">
        <v>0</v>
      </c>
      <c r="F14">
        <v>0</v>
      </c>
      <c r="G14">
        <v>0</v>
      </c>
      <c r="H14">
        <v>1</v>
      </c>
      <c r="I14">
        <v>1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0x00,</v>
      </c>
      <c r="AD14" t="str">
        <f t="shared" si="7"/>
        <v>0,</v>
      </c>
      <c r="AE14" t="str">
        <f t="shared" si="8"/>
        <v>00000000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0xE3,</v>
      </c>
      <c r="BE14" t="str">
        <f t="shared" si="13"/>
        <v>227,</v>
      </c>
      <c r="BF14" t="str">
        <f t="shared" si="14"/>
        <v>11100011</v>
      </c>
      <c r="BG14">
        <v>1</v>
      </c>
      <c r="BH14">
        <v>1</v>
      </c>
      <c r="BI14">
        <v>1</v>
      </c>
      <c r="BJ14">
        <v>0</v>
      </c>
      <c r="BK14">
        <v>0</v>
      </c>
      <c r="BL14">
        <v>0</v>
      </c>
      <c r="BM14">
        <v>1</v>
      </c>
      <c r="BN14">
        <v>1</v>
      </c>
      <c r="BO14">
        <v>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10000000</v>
      </c>
      <c r="BX14" t="str">
        <f t="shared" si="16"/>
        <v>128,</v>
      </c>
      <c r="BY14" t="str">
        <f t="shared" si="17"/>
        <v xml:space="preserve"> 0x80,</v>
      </c>
      <c r="BZ14" t="s">
        <v>0</v>
      </c>
      <c r="CA14" t="s">
        <v>1</v>
      </c>
    </row>
    <row r="15" spans="1:80">
      <c r="B15" t="str">
        <f t="shared" si="0"/>
        <v xml:space="preserve"> 0x1C,</v>
      </c>
      <c r="C15" t="str">
        <f t="shared" si="1"/>
        <v>28,</v>
      </c>
      <c r="D15" t="str">
        <f t="shared" si="2"/>
        <v>00011100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0x00,</v>
      </c>
      <c r="AD15" t="str">
        <f t="shared" si="7"/>
        <v>0,</v>
      </c>
      <c r="AE15" t="str">
        <f t="shared" si="8"/>
        <v>00000000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0xE3,</v>
      </c>
      <c r="BE15" t="str">
        <f t="shared" si="13"/>
        <v>227,</v>
      </c>
      <c r="BF15" t="str">
        <f t="shared" si="14"/>
        <v>11100011</v>
      </c>
      <c r="BG15">
        <v>1</v>
      </c>
      <c r="BH15">
        <v>1</v>
      </c>
      <c r="BI15">
        <v>1</v>
      </c>
      <c r="BJ15">
        <v>0</v>
      </c>
      <c r="BK15">
        <v>0</v>
      </c>
      <c r="BL15">
        <v>0</v>
      </c>
      <c r="BM15">
        <v>1</v>
      </c>
      <c r="BN15">
        <v>1</v>
      </c>
      <c r="BO15">
        <v>1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10000000</v>
      </c>
      <c r="BX15" t="str">
        <f t="shared" si="16"/>
        <v>128,</v>
      </c>
      <c r="BY15" t="str">
        <f t="shared" si="17"/>
        <v xml:space="preserve"> 0x80,</v>
      </c>
      <c r="BZ15" t="s">
        <v>0</v>
      </c>
      <c r="CA15" t="s">
        <v>1</v>
      </c>
    </row>
    <row r="16" spans="1:80">
      <c r="B16" t="str">
        <f t="shared" si="0"/>
        <v xml:space="preserve"> 0x1C,</v>
      </c>
      <c r="C16" t="str">
        <f t="shared" si="1"/>
        <v>28,</v>
      </c>
      <c r="D16" t="str">
        <f t="shared" si="2"/>
        <v>00011100</v>
      </c>
      <c r="E16">
        <v>0</v>
      </c>
      <c r="F16">
        <v>0</v>
      </c>
      <c r="G16">
        <v>0</v>
      </c>
      <c r="H16">
        <v>1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0x00,</v>
      </c>
      <c r="AD16" t="str">
        <f t="shared" si="7"/>
        <v>0,</v>
      </c>
      <c r="AE16" t="str">
        <f t="shared" si="8"/>
        <v>00000000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0xE3,</v>
      </c>
      <c r="BE16" t="str">
        <f t="shared" si="13"/>
        <v>227,</v>
      </c>
      <c r="BF16" t="str">
        <f t="shared" si="14"/>
        <v>11100011</v>
      </c>
      <c r="BG16">
        <v>1</v>
      </c>
      <c r="BH16">
        <v>1</v>
      </c>
      <c r="BI16">
        <v>1</v>
      </c>
      <c r="BJ16">
        <v>0</v>
      </c>
      <c r="BK16">
        <v>0</v>
      </c>
      <c r="BL16">
        <v>0</v>
      </c>
      <c r="BM16">
        <v>1</v>
      </c>
      <c r="BN16">
        <v>1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10000000</v>
      </c>
      <c r="BX16" t="str">
        <f t="shared" si="16"/>
        <v>128,</v>
      </c>
      <c r="BY16" t="str">
        <f t="shared" si="17"/>
        <v xml:space="preserve"> 0x80,</v>
      </c>
      <c r="BZ16" t="s">
        <v>0</v>
      </c>
      <c r="CA16" t="s">
        <v>1</v>
      </c>
    </row>
    <row r="17" spans="1:79">
      <c r="B17" t="str">
        <f t="shared" si="0"/>
        <v xml:space="preserve"> 0x1C,</v>
      </c>
      <c r="C17" t="str">
        <f t="shared" si="1"/>
        <v>28,</v>
      </c>
      <c r="D17" t="str">
        <f t="shared" si="2"/>
        <v>00011100</v>
      </c>
      <c r="E17">
        <v>0</v>
      </c>
      <c r="F17">
        <v>0</v>
      </c>
      <c r="G17">
        <v>0</v>
      </c>
      <c r="H17">
        <v>1</v>
      </c>
      <c r="I17">
        <v>1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0x00,</v>
      </c>
      <c r="AD17" t="str">
        <f t="shared" si="7"/>
        <v>0,</v>
      </c>
      <c r="AE17" t="str">
        <f t="shared" si="8"/>
        <v>00000000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0xE3,</v>
      </c>
      <c r="BE17" t="str">
        <f t="shared" si="13"/>
        <v>227,</v>
      </c>
      <c r="BF17" t="str">
        <f t="shared" si="14"/>
        <v>11100011</v>
      </c>
      <c r="BG17">
        <v>1</v>
      </c>
      <c r="BH17">
        <v>1</v>
      </c>
      <c r="BI17">
        <v>1</v>
      </c>
      <c r="BJ17">
        <v>0</v>
      </c>
      <c r="BK17">
        <v>0</v>
      </c>
      <c r="BL17">
        <v>0</v>
      </c>
      <c r="BM17">
        <v>1</v>
      </c>
      <c r="BN17">
        <v>1</v>
      </c>
      <c r="BO17">
        <v>1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10000000</v>
      </c>
      <c r="BX17" t="str">
        <f t="shared" si="16"/>
        <v>128,</v>
      </c>
      <c r="BY17" t="str">
        <f t="shared" si="17"/>
        <v xml:space="preserve"> 0x80,</v>
      </c>
      <c r="BZ17" t="s">
        <v>0</v>
      </c>
      <c r="CA17" t="s">
        <v>1</v>
      </c>
    </row>
    <row r="18" spans="1:79">
      <c r="B18" t="str">
        <f t="shared" si="0"/>
        <v xml:space="preserve"> 0x3C,</v>
      </c>
      <c r="C18" t="str">
        <f t="shared" si="1"/>
        <v>60,</v>
      </c>
      <c r="D18" t="str">
        <f t="shared" si="2"/>
        <v>00111100</v>
      </c>
      <c r="E18">
        <v>0</v>
      </c>
      <c r="F18">
        <v>0</v>
      </c>
      <c r="G18">
        <v>1</v>
      </c>
      <c r="H18">
        <v>1</v>
      </c>
      <c r="I18">
        <v>1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0x00,</v>
      </c>
      <c r="AD18" t="str">
        <f t="shared" si="7"/>
        <v>0,</v>
      </c>
      <c r="AE18" t="str">
        <f t="shared" si="8"/>
        <v>00000000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0xE3,</v>
      </c>
      <c r="BE18" t="str">
        <f t="shared" si="13"/>
        <v>227,</v>
      </c>
      <c r="BF18" t="str">
        <f t="shared" si="14"/>
        <v>11100011</v>
      </c>
      <c r="BG18">
        <v>1</v>
      </c>
      <c r="BH18">
        <v>1</v>
      </c>
      <c r="BI18">
        <v>1</v>
      </c>
      <c r="BJ18">
        <v>0</v>
      </c>
      <c r="BK18">
        <v>0</v>
      </c>
      <c r="BL18">
        <v>0</v>
      </c>
      <c r="BM18">
        <v>1</v>
      </c>
      <c r="BN18">
        <v>1</v>
      </c>
      <c r="BO18">
        <v>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10000000</v>
      </c>
      <c r="BX18" t="str">
        <f t="shared" si="16"/>
        <v>128,</v>
      </c>
      <c r="BY18" t="str">
        <f t="shared" si="17"/>
        <v xml:space="preserve"> 0x80,</v>
      </c>
      <c r="BZ18" t="s">
        <v>0</v>
      </c>
      <c r="CA18" t="s">
        <v>1</v>
      </c>
    </row>
    <row r="19" spans="1:79">
      <c r="B19" t="str">
        <f t="shared" si="0"/>
        <v xml:space="preserve"> 0xF8,</v>
      </c>
      <c r="C19" t="str">
        <f t="shared" si="1"/>
        <v>248,</v>
      </c>
      <c r="D19" t="str">
        <f t="shared" si="2"/>
        <v>11111000</v>
      </c>
      <c r="E19">
        <v>1</v>
      </c>
      <c r="F19">
        <v>1</v>
      </c>
      <c r="G19">
        <v>1</v>
      </c>
      <c r="H19">
        <v>1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0x00,</v>
      </c>
      <c r="AD19" t="str">
        <f t="shared" si="7"/>
        <v>0,</v>
      </c>
      <c r="AE19" t="str">
        <f t="shared" si="8"/>
        <v>00000000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0xFF,</v>
      </c>
      <c r="BE19" t="str">
        <f t="shared" si="13"/>
        <v>255,</v>
      </c>
      <c r="BF19" t="str">
        <f t="shared" si="14"/>
        <v>11111111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10000000</v>
      </c>
      <c r="BX19" t="str">
        <f t="shared" si="16"/>
        <v>128,</v>
      </c>
      <c r="BY19" t="str">
        <f t="shared" si="17"/>
        <v xml:space="preserve"> 0x80,</v>
      </c>
      <c r="BZ19" t="s">
        <v>0</v>
      </c>
      <c r="CA19" t="s">
        <v>1</v>
      </c>
    </row>
    <row r="20" spans="1:79">
      <c r="B20" t="str">
        <f t="shared" si="0"/>
        <v xml:space="preserve"> 0xF0,</v>
      </c>
      <c r="C20" t="str">
        <f t="shared" si="1"/>
        <v>240,</v>
      </c>
      <c r="D20" t="str">
        <f t="shared" si="2"/>
        <v>11110000</v>
      </c>
      <c r="E20">
        <v>1</v>
      </c>
      <c r="F20">
        <v>1</v>
      </c>
      <c r="G20">
        <v>1</v>
      </c>
      <c r="H20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0x00,</v>
      </c>
      <c r="AD20" t="str">
        <f t="shared" si="7"/>
        <v>0,</v>
      </c>
      <c r="AE20" t="str">
        <f t="shared" si="8"/>
        <v>00000000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0xFF,</v>
      </c>
      <c r="BE20" t="str">
        <f t="shared" si="13"/>
        <v>255,</v>
      </c>
      <c r="BF20" t="str">
        <f t="shared" si="14"/>
        <v>11111111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10000000</v>
      </c>
      <c r="BX20" t="str">
        <f t="shared" si="16"/>
        <v>128,</v>
      </c>
      <c r="BY20" t="str">
        <f t="shared" si="17"/>
        <v xml:space="preserve"> 0x80,</v>
      </c>
      <c r="BZ20" t="s">
        <v>0</v>
      </c>
      <c r="CA20" t="s">
        <v>1</v>
      </c>
    </row>
    <row r="21" spans="1:79" hidden="1"/>
    <row r="22" spans="1:79" hidden="1">
      <c r="A22" t="s">
        <v>298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8,</v>
      </c>
      <c r="V22" t="str">
        <f>Y20&amp;DEC2HEX(U22,2)&amp;X20</f>
        <v xml:space="preserve"> 0x08,</v>
      </c>
      <c r="AB22" t="s">
        <v>298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1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12,</v>
      </c>
      <c r="AW22" t="str">
        <f>AZ20&amp;DEC2HEX(AV22,2)&amp;AY20</f>
        <v xml:space="preserve"> 0x0C,</v>
      </c>
      <c r="BC22" t="s">
        <v>298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9,</v>
      </c>
      <c r="BX22" t="str">
        <f>CA20&amp;DEC2HEX(BW22,2)&amp;BZ20</f>
        <v xml:space="preserve"> 0x09,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8,240,0,248,0,60,0,28,0,28,0,28,0,30,0,15,0,15,0,30,0,28,0,28,0,28,0,60,0,248,0,240,0,//}//125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12,0,0,0,0,0,0,0,0,0,0,60,112,126,240,247,224,227,192,0,0,0,0,0,0,0,0,0,0,0,0,0,0,//~//126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9,255,128,255,128,227,128,227,128,227,128,227,128,227,128,227,128,227,128,227,128,227,128,227,128,227,128,227,128,255,128,255,128,//0//127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0x08, 0xF0, 0x00, 0xF8, 0x00, 0x3C, 0x00, 0x1C, 0x00, 0x1C, 0x00, 0x1C, 0x00, 0x1E, 0x00, 0x0F, 0x00, 0x0F, 0x00, 0x1E, 0x00, 0x1C, 0x00, 0x1C, 0x00, 0x1C, 0x00, 0x3C, 0x00, 0xF8, 0x00, 0xF0, 0x00,//}//125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0x0C, 0x00, 0x00, 0x00, 0x00, 0x00, 0x00, 0x00, 0x00, 0x00, 0x00, 0x3C, 0x70, 0x7E, 0xF0, 0xF7, 0xE0, 0xE3, 0xC0, 0x00, 0x00, 0x00, 0x00, 0x00, 0x00, 0x00, 0x00, 0x00, 0x00, 0x00, 0x00, 0x00, 0x00,//~//126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0x09, 0xFF, 0x80, 0xFF, 0x80, 0xE3, 0x80, 0xE3, 0x80, 0xE3, 0x80, 0xE3, 0x80, 0xE3, 0x80, 0xE3, 0x80, 0xE3, 0x80, 0xE3, 0x80, 0xE3, 0x80, 0xE3, 0x80, 0xE3, 0x80, 0xE3, 0x80, 0xFF, 0x80, 0xFF, 0x80,//0//127</v>
      </c>
    </row>
    <row r="28" spans="1:79">
      <c r="A28" s="1" t="str">
        <f>$B$24</f>
        <v>8,240,0,248,0,60,0,28,0,28,0,28,0,30,0,15,0,15,0,30,0,28,0,28,0,28,0,60,0,248,0,240,0,//}//125</v>
      </c>
      <c r="E28" t="s">
        <v>4</v>
      </c>
      <c r="AB28" s="1" t="str">
        <f>$AC$24</f>
        <v>12,0,0,0,0,0,0,0,0,0,0,60,112,126,240,247,224,227,192,0,0,0,0,0,0,0,0,0,0,0,0,0,0,//~//126</v>
      </c>
      <c r="AF28" t="s">
        <v>4</v>
      </c>
      <c r="BC28" s="1" t="str">
        <f>$BD$24</f>
        <v>9,255,128,255,128,227,128,227,128,227,128,227,128,227,128,227,128,227,128,227,128,227,128,227,128,227,128,227,128,255,128,255,128,//0//127</v>
      </c>
      <c r="BG28" t="s">
        <v>4</v>
      </c>
    </row>
    <row r="29" spans="1:79">
      <c r="A29" s="2" t="str">
        <f>$B$25</f>
        <v xml:space="preserve"> 0x08, 0xF0, 0x00, 0xF8, 0x00, 0x3C, 0x00, 0x1C, 0x00, 0x1C, 0x00, 0x1C, 0x00, 0x1E, 0x00, 0x0F, 0x00, 0x0F, 0x00, 0x1E, 0x00, 0x1C, 0x00, 0x1C, 0x00, 0x1C, 0x00, 0x3C, 0x00, 0xF8, 0x00, 0xF0, 0x00,//}//125</v>
      </c>
      <c r="E29" t="s">
        <v>3</v>
      </c>
      <c r="AB29" s="2" t="str">
        <f>$AC$25</f>
        <v xml:space="preserve"> 0x0C, 0x00, 0x00, 0x00, 0x00, 0x00, 0x00, 0x00, 0x00, 0x00, 0x00, 0x3C, 0x70, 0x7E, 0xF0, 0xF7, 0xE0, 0xE3, 0xC0, 0x00, 0x00, 0x00, 0x00, 0x00, 0x00, 0x00, 0x00, 0x00, 0x00, 0x00, 0x00, 0x00, 0x00,//~//126</v>
      </c>
      <c r="AF29" t="s">
        <v>3</v>
      </c>
      <c r="BC29" s="2" t="str">
        <f>$BD$25</f>
        <v xml:space="preserve"> 0x09, 0xFF, 0x80, 0xFF, 0x80, 0xE3, 0x80, 0xE3, 0x80, 0xE3, 0x80, 0xE3, 0x80, 0xE3, 0x80, 0xE3, 0x80, 0xE3, 0x80, 0xE3, 0x80, 0xE3, 0x80, 0xE3, 0x80, 0xE3, 0x80, 0xE3, 0x80, 0xFF, 0x80, 0xFF, 0x80,//0//127</v>
      </c>
      <c r="BG29" t="s">
        <v>3</v>
      </c>
    </row>
  </sheetData>
  <conditionalFormatting sqref="E5:T20">
    <cfRule type="colorScale" priority="5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ellIs" dxfId="7" priority="1" operator="equal">
      <formula>0</formula>
    </cfRule>
    <cfRule type="cellIs" dxfId="6" priority="2" operator="equal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33.xml><?xml version="1.0" encoding="utf-8"?>
<worksheet xmlns="http://schemas.openxmlformats.org/spreadsheetml/2006/main" xmlns:r="http://schemas.openxmlformats.org/officeDocument/2006/relationships">
  <dimension ref="A5:X103"/>
  <sheetViews>
    <sheetView tabSelected="1" workbookViewId="0">
      <selection activeCell="S8" sqref="S8:S103"/>
    </sheetView>
  </sheetViews>
  <sheetFormatPr defaultRowHeight="15"/>
  <cols>
    <col min="2" max="17" width="9.140625" hidden="1" customWidth="1"/>
  </cols>
  <sheetData>
    <row r="5" spans="1:24">
      <c r="S5" t="s">
        <v>299</v>
      </c>
    </row>
    <row r="6" spans="1:24" ht="15.75">
      <c r="S6" s="4" t="s">
        <v>297</v>
      </c>
      <c r="T6" s="1"/>
      <c r="U6" s="1"/>
      <c r="V6" s="1"/>
      <c r="W6" s="1"/>
      <c r="X6" s="1"/>
    </row>
    <row r="8" spans="1:24">
      <c r="A8">
        <v>32</v>
      </c>
      <c r="B8" t="s">
        <v>9</v>
      </c>
      <c r="C8" t="s">
        <v>10</v>
      </c>
      <c r="E8" t="str">
        <f>'!"'!A28</f>
        <v>4,0,0,0,0,0,0,0,0,0,0,0,0,0,0,0,0,0,0,0,0,0,0,0,0,0,0,0,0,0,0,0,0,//пробл//32</v>
      </c>
      <c r="S8" t="str">
        <f>E8</f>
        <v>4,0,0,0,0,0,0,0,0,0,0,0,0,0,0,0,0,0,0,0,0,0,0,0,0,0,0,0,0,0,0,0,0,//пробл//32</v>
      </c>
    </row>
    <row r="9" spans="1:24">
      <c r="A9">
        <v>33</v>
      </c>
      <c r="B9" t="s">
        <v>9</v>
      </c>
      <c r="C9" t="s">
        <v>10</v>
      </c>
      <c r="E9" t="str">
        <f>'!"'!AB28</f>
        <v>3,224,0,224,0,224,0,224,0,224,0,224,0,224,0,224,0,224,0,224,0,224,0,224,0,0,0,224,0,224,0,224,0,//!//33</v>
      </c>
      <c r="S9" t="str">
        <f>E9</f>
        <v>3,224,0,224,0,224,0,224,0,224,0,224,0,224,0,224,0,224,0,224,0,224,0,224,0,0,0,224,0,224,0,224,0,//!//33</v>
      </c>
    </row>
    <row r="10" spans="1:24">
      <c r="A10">
        <v>34</v>
      </c>
      <c r="B10" t="s">
        <v>9</v>
      </c>
      <c r="C10" t="s">
        <v>10</v>
      </c>
      <c r="E10" t="str">
        <f>'!"'!BC28</f>
        <v>8,231,0,231,0,231,0,231,0,231,0,0,0,0,0,0,0,0,0,0,0,0,0,0,0,0,0,0,0,0,0,0,0,//"//34</v>
      </c>
      <c r="S10" t="str">
        <f t="shared" ref="S10:S73" si="0">E10</f>
        <v>8,231,0,231,0,231,0,231,0,231,0,0,0,0,0,0,0,0,0,0,0,0,0,0,0,0,0,0,0,0,0,0,0,//"//34</v>
      </c>
    </row>
    <row r="11" spans="1:24">
      <c r="A11">
        <v>35</v>
      </c>
      <c r="B11" t="s">
        <v>9</v>
      </c>
      <c r="C11" t="s">
        <v>10</v>
      </c>
      <c r="E11" t="str">
        <f>'#$'!A28</f>
        <v>12,57,192,57,192,57,192,255,240,255,240,57,192,57,192,57,192,57,192,57,192,57,192,255,240,255,240,57,192,57,192,57,192,//#//35</v>
      </c>
      <c r="S11" t="str">
        <f t="shared" si="0"/>
        <v>12,57,192,57,192,57,192,255,240,255,240,57,192,57,192,57,192,57,192,57,192,57,192,255,240,255,240,57,192,57,192,57,192,//#//35</v>
      </c>
    </row>
    <row r="12" spans="1:24">
      <c r="A12">
        <v>36</v>
      </c>
      <c r="B12" t="s">
        <v>9</v>
      </c>
      <c r="C12" t="s">
        <v>10</v>
      </c>
      <c r="E12" t="str">
        <f>'#$'!AB28</f>
        <v>11,14,0,14,0,127,192,255,224,238,224,238,0,238,0,255,192,127,224,14,224,14,224,238,224,255,224,127,192,14,0,14,0,//$//36</v>
      </c>
      <c r="S12" t="str">
        <f t="shared" si="0"/>
        <v>11,14,0,14,0,127,192,255,224,238,224,238,0,238,0,255,192,127,224,14,224,14,224,238,224,255,224,127,192,14,0,14,0,//$//36</v>
      </c>
    </row>
    <row r="13" spans="1:24">
      <c r="A13">
        <v>37</v>
      </c>
      <c r="B13" t="s">
        <v>9</v>
      </c>
      <c r="C13" t="s">
        <v>10</v>
      </c>
      <c r="E13" t="str">
        <f>'#$'!BC28</f>
        <v>12,112,224,248,224,217,192,249,192,115,128,3,128,7,0,7,0,14,0,14,0,28,0,28,224,57,240,57,176,113,240,112,224,//%//37</v>
      </c>
      <c r="S13" t="str">
        <f t="shared" si="0"/>
        <v>12,112,224,248,224,217,192,249,192,115,128,3,128,7,0,7,0,14,0,14,0,28,0,28,224,57,240,57,176,113,240,112,224,//%//37</v>
      </c>
    </row>
    <row r="14" spans="1:24">
      <c r="A14">
        <v>38</v>
      </c>
      <c r="B14" t="s">
        <v>9</v>
      </c>
      <c r="C14" t="s">
        <v>10</v>
      </c>
      <c r="E14" t="str">
        <f>'('!A28</f>
        <v>12,30,0,63,0,115,128,115,128,115,128,115,128,51,128,63,0,126,0,238,48,231,112,227,224,225,192,227,224,255,112,126,48,//&amp;//38</v>
      </c>
      <c r="S14" t="str">
        <f t="shared" si="0"/>
        <v>12,30,0,63,0,115,128,115,128,115,128,115,128,51,128,63,0,126,0,238,48,231,112,227,224,225,192,227,224,255,112,126,48,//&amp;//38</v>
      </c>
    </row>
    <row r="15" spans="1:24">
      <c r="A15">
        <v>39</v>
      </c>
      <c r="B15" t="s">
        <v>9</v>
      </c>
      <c r="C15" t="s">
        <v>10</v>
      </c>
      <c r="E15" t="str">
        <f>'('!AB28</f>
        <v>3,224,0,224,0,224,0,224,0,224,0,0,0,0,0,0,0,0,0,0,0,0,0,0,0,0,0,0,0,0,0,0,0,////39</v>
      </c>
      <c r="S15" t="str">
        <f t="shared" si="0"/>
        <v>3,224,0,224,0,224,0,224,0,224,0,0,0,0,0,0,0,0,0,0,0,0,0,0,0,0,0,0,0,0,0,0,0,////39</v>
      </c>
    </row>
    <row r="16" spans="1:24">
      <c r="A16">
        <v>40</v>
      </c>
      <c r="B16" t="s">
        <v>9</v>
      </c>
      <c r="C16" t="s">
        <v>10</v>
      </c>
      <c r="E16" t="str">
        <f>'('!BC28</f>
        <v>5,56,0,120,0,240,0,224,0,224,0,224,0,224,0,224,0,224,0,224,0,224,0,224,0,224,0,240,0,120,0,56,0,//(//40</v>
      </c>
      <c r="S16" t="str">
        <f t="shared" si="0"/>
        <v>5,56,0,120,0,240,0,224,0,224,0,224,0,224,0,224,0,224,0,224,0,224,0,224,0,224,0,240,0,120,0,56,0,//(//40</v>
      </c>
    </row>
    <row r="17" spans="1:19">
      <c r="A17">
        <v>41</v>
      </c>
      <c r="B17" t="s">
        <v>9</v>
      </c>
      <c r="C17" t="s">
        <v>10</v>
      </c>
      <c r="E17" t="str">
        <f>')+'!A28</f>
        <v>5,224,0,240,0,120,0,56,0,56,0,56,0,56,0,56,0,56,0,56,0,56,0,56,0,56,0,120,0,240,0,224,0,//)//41</v>
      </c>
      <c r="S17" t="str">
        <f t="shared" si="0"/>
        <v>5,224,0,240,0,120,0,56,0,56,0,56,0,56,0,56,0,56,0,56,0,56,0,56,0,56,0,120,0,240,0,224,0,//)//41</v>
      </c>
    </row>
    <row r="18" spans="1:19">
      <c r="A18">
        <v>42</v>
      </c>
      <c r="B18" t="s">
        <v>9</v>
      </c>
      <c r="C18" t="s">
        <v>10</v>
      </c>
      <c r="E18" t="str">
        <f>')+'!AB28</f>
        <v>9,0,0,0,0,0,0,99,0,119,0,62,0,28,0,255,128,255,128,28,0,62,0,119,0,99,0,0,0,0,0,0,0,//*//42</v>
      </c>
      <c r="S18" t="str">
        <f t="shared" si="0"/>
        <v>9,0,0,0,0,0,0,99,0,119,0,62,0,28,0,255,128,255,128,28,0,62,0,119,0,99,0,0,0,0,0,0,0,//*//42</v>
      </c>
    </row>
    <row r="19" spans="1:19">
      <c r="A19">
        <v>43</v>
      </c>
      <c r="B19" t="s">
        <v>9</v>
      </c>
      <c r="C19" t="s">
        <v>10</v>
      </c>
      <c r="E19" t="str">
        <f>')+'!BC28</f>
        <v>9,0,0,0,0,0,0,0,0,28,0,28,0,28,0,255,128,255,128,28,0,28,0,28,0,0,0,0,0,0,0,0,0,//0//43</v>
      </c>
      <c r="S19" t="str">
        <f t="shared" si="0"/>
        <v>9,0,0,0,0,0,0,0,0,28,0,28,0,28,0,255,128,255,128,28,0,28,0,28,0,0,0,0,0,0,0,0,0,//0//43</v>
      </c>
    </row>
    <row r="20" spans="1:19">
      <c r="A20">
        <v>44</v>
      </c>
      <c r="B20" t="s">
        <v>9</v>
      </c>
      <c r="C20" t="s">
        <v>10</v>
      </c>
      <c r="E20" t="str">
        <f>'-.'!A28</f>
        <v>3,0,0,0,0,0,0,0,0,0,0,0,0,0,0,0,0,0,0,0,0,0,0,0,0,224,0,224,0,96,0,224,0,//,//44</v>
      </c>
      <c r="S20" t="str">
        <f t="shared" si="0"/>
        <v>3,0,0,0,0,0,0,0,0,0,0,0,0,0,0,0,0,0,0,0,0,0,0,0,0,224,0,224,0,96,0,224,0,//,//44</v>
      </c>
    </row>
    <row r="21" spans="1:19">
      <c r="A21">
        <v>45</v>
      </c>
      <c r="B21" t="s">
        <v>9</v>
      </c>
      <c r="C21" t="s">
        <v>10</v>
      </c>
      <c r="E21" t="str">
        <f>'-.'!AB28</f>
        <v>9,0,0,0,0,0,0,0,0,0,0,0,0,0,0,255,128,255,128,0,0,0,0,0,0,0,0,0,0,0,0,0,0,//.//45</v>
      </c>
      <c r="S21" t="str">
        <f t="shared" si="0"/>
        <v>9,0,0,0,0,0,0,0,0,0,0,0,0,0,0,255,128,255,128,0,0,0,0,0,0,0,0,0,0,0,0,0,0,//.//45</v>
      </c>
    </row>
    <row r="22" spans="1:19">
      <c r="A22">
        <v>46</v>
      </c>
      <c r="B22" t="s">
        <v>9</v>
      </c>
      <c r="C22" t="s">
        <v>10</v>
      </c>
      <c r="E22" t="str">
        <f>'-.'!BC28</f>
        <v>3,0,0,0,0,0,0,0,0,0,0,0,0,0,0,0,0,0,0,0,0,0,0,0,0,0,0,224,0,224,0,224,0,//.//46</v>
      </c>
      <c r="S22" t="str">
        <f t="shared" si="0"/>
        <v>3,0,0,0,0,0,0,0,0,0,0,0,0,0,0,0,0,0,0,0,0,0,0,0,0,0,0,224,0,224,0,224,0,//.//46</v>
      </c>
    </row>
    <row r="23" spans="1:19">
      <c r="A23">
        <v>47</v>
      </c>
      <c r="B23" t="s">
        <v>9</v>
      </c>
      <c r="C23" t="s">
        <v>10</v>
      </c>
      <c r="E23" t="str">
        <f>'01'!A28</f>
        <v>5,56,0,56,0,56,0,56,0,56,0,112,0,112,0,112,0,112,0,112,0,112,0,224,0,224,0,224,0,224,0,224,0,/////47</v>
      </c>
      <c r="S23" t="str">
        <f t="shared" si="0"/>
        <v>5,56,0,56,0,56,0,56,0,56,0,112,0,112,0,112,0,112,0,112,0,112,0,224,0,224,0,224,0,224,0,224,0,/////47</v>
      </c>
    </row>
    <row r="24" spans="1:19">
      <c r="A24">
        <v>48</v>
      </c>
      <c r="B24" t="s">
        <v>9</v>
      </c>
      <c r="C24" t="s">
        <v>10</v>
      </c>
      <c r="E24" t="str">
        <f>'01'!AB28</f>
        <v>12,63,192,127,224,240,240,224,112,224,112,224,112,224,112,224,112,224,112,224,112,224,112,224,112,224,112,240,240,127,224,63,192,//0//48</v>
      </c>
      <c r="S24" t="str">
        <f t="shared" si="0"/>
        <v>12,63,192,127,224,240,240,224,112,224,112,224,112,224,112,224,112,224,112,224,112,224,112,224,112,224,112,240,240,127,224,63,192,//0//48</v>
      </c>
    </row>
    <row r="25" spans="1:19">
      <c r="A25">
        <v>49</v>
      </c>
      <c r="B25" t="s">
        <v>9</v>
      </c>
      <c r="C25" t="s">
        <v>10</v>
      </c>
      <c r="E25" t="str">
        <f>'01'!BC28</f>
        <v>9,28,0,60,0,124,0,252,0,220,0,28,0,28,0,28,0,28,0,28,0,28,0,28,0,28,0,28,0,255,128,255,128,//1//49</v>
      </c>
      <c r="S25" t="str">
        <f t="shared" si="0"/>
        <v>9,28,0,60,0,124,0,252,0,220,0,28,0,28,0,28,0,28,0,28,0,28,0,28,0,28,0,28,0,255,128,255,128,//1//49</v>
      </c>
    </row>
    <row r="26" spans="1:19">
      <c r="A26">
        <v>50</v>
      </c>
      <c r="B26" t="s">
        <v>9</v>
      </c>
      <c r="C26" t="s">
        <v>10</v>
      </c>
      <c r="E26" t="str">
        <f>'234'!A28</f>
        <v>12,63,192,127,224,240,240,224,112,224,112,0,240,1,224,3,192,7,128,15,0,30,0,60,0,120,0,240,112,255,240,255,240,//2//50</v>
      </c>
      <c r="S26" t="str">
        <f t="shared" si="0"/>
        <v>12,63,192,127,224,240,240,224,112,224,112,0,240,1,224,3,192,7,128,15,0,30,0,60,0,120,0,240,112,255,240,255,240,//2//50</v>
      </c>
    </row>
    <row r="27" spans="1:19">
      <c r="A27">
        <v>51</v>
      </c>
      <c r="B27" t="s">
        <v>9</v>
      </c>
      <c r="C27" t="s">
        <v>10</v>
      </c>
      <c r="E27" t="str">
        <f>'234'!AB28</f>
        <v>12,255,240,255,240,224,112,0,224,1,192,3,128,7,0,15,240,15,240,0,112,0,112,0,112,224,112,240,240,127,224,63,192,//3//51</v>
      </c>
      <c r="S27" t="str">
        <f t="shared" si="0"/>
        <v>12,255,240,255,240,224,112,0,224,1,192,3,128,7,0,15,240,15,240,0,112,0,112,0,112,224,112,240,240,127,224,63,192,//3//51</v>
      </c>
    </row>
    <row r="28" spans="1:19">
      <c r="A28">
        <v>52</v>
      </c>
      <c r="B28" t="s">
        <v>9</v>
      </c>
      <c r="C28" t="s">
        <v>10</v>
      </c>
      <c r="E28" t="str">
        <f>'234'!BC28</f>
        <v>12,3,128,7,128,7,128,15,128,31,128,59,128,59,128,115,128,227,128,227,128,255,240,255,240,3,128,3,128,3,128,3,128,//4//52</v>
      </c>
      <c r="S28" t="str">
        <f t="shared" si="0"/>
        <v>12,3,128,7,128,7,128,15,128,31,128,59,128,59,128,115,128,227,128,227,128,255,240,255,240,3,128,3,128,3,128,3,128,//4//52</v>
      </c>
    </row>
    <row r="29" spans="1:19">
      <c r="A29">
        <v>53</v>
      </c>
      <c r="B29" t="s">
        <v>9</v>
      </c>
      <c r="C29" t="s">
        <v>10</v>
      </c>
      <c r="E29" t="str">
        <f>'567'!A28</f>
        <v>12,255,240,255,240,224,112,224,0,224,0,224,0,224,0,255,192,255,224,0,240,0,112,0,112,224,112,240,240,127,224,63,192,//5//53</v>
      </c>
      <c r="S29" t="str">
        <f t="shared" si="0"/>
        <v>12,255,240,255,240,224,112,224,0,224,0,224,0,224,0,255,192,255,224,0,240,0,112,0,112,224,112,240,240,127,224,63,192,//5//53</v>
      </c>
    </row>
    <row r="30" spans="1:19">
      <c r="A30">
        <v>54</v>
      </c>
      <c r="B30" t="s">
        <v>9</v>
      </c>
      <c r="C30" t="s">
        <v>10</v>
      </c>
      <c r="E30" t="str">
        <f>'567'!AB28</f>
        <v>12,63,192,127,224,240,240,224,112,224,0,224,0,224,0,255,192,255,224,240,240,224,112,224,112,224,112,240,240,127,224,63,192,//6//54</v>
      </c>
      <c r="S30" t="str">
        <f t="shared" si="0"/>
        <v>12,63,192,127,224,240,240,224,112,224,0,224,0,224,0,255,192,255,224,240,240,224,112,224,112,224,112,240,240,127,224,63,192,//6//54</v>
      </c>
    </row>
    <row r="31" spans="1:19">
      <c r="A31">
        <v>55</v>
      </c>
      <c r="B31" t="s">
        <v>9</v>
      </c>
      <c r="C31" t="s">
        <v>10</v>
      </c>
      <c r="E31" t="str">
        <f>'567'!BC28</f>
        <v>12,255,240,255,240,224,112,0,112,0,224,1,192,3,128,7,0,14,0,14,0,28,0,28,0,28,0,28,0,28,0,28,0,//7//55</v>
      </c>
      <c r="S31" t="str">
        <f t="shared" si="0"/>
        <v>12,255,240,255,240,224,112,0,112,0,224,1,192,3,128,7,0,14,0,14,0,28,0,28,0,28,0,28,0,28,0,28,0,//7//55</v>
      </c>
    </row>
    <row r="32" spans="1:19">
      <c r="A32">
        <v>56</v>
      </c>
      <c r="B32" t="s">
        <v>9</v>
      </c>
      <c r="C32" t="s">
        <v>10</v>
      </c>
      <c r="E32" t="str">
        <f>'89'!A28</f>
        <v>12,31,128,63,192,121,224,112,224,112,224,112,224,57,192,63,192,127,224,240,240,224,112,224,112,224,112,240,240,127,224,63,192,//8//56</v>
      </c>
      <c r="S32" t="str">
        <f t="shared" si="0"/>
        <v>12,31,128,63,192,121,224,112,224,112,224,112,224,57,192,63,192,127,224,240,240,224,112,224,112,224,112,240,240,127,224,63,192,//8//56</v>
      </c>
    </row>
    <row r="33" spans="1:19">
      <c r="A33">
        <v>57</v>
      </c>
      <c r="B33" t="s">
        <v>9</v>
      </c>
      <c r="C33" t="s">
        <v>10</v>
      </c>
      <c r="E33" t="str">
        <f>'89'!AB28</f>
        <v>12,63,192,127,224,240,240,224,112,224,112,224,112,240,240,127,240,63,240,0,112,0,112,0,112,224,112,240,240,127,224,63,192,//9//57</v>
      </c>
      <c r="S33" t="str">
        <f t="shared" si="0"/>
        <v>12,63,192,127,224,240,240,224,112,224,112,224,112,240,240,127,240,63,240,0,112,0,112,0,112,224,112,240,240,127,224,63,192,//9//57</v>
      </c>
    </row>
    <row r="34" spans="1:19">
      <c r="A34">
        <v>58</v>
      </c>
      <c r="B34" t="s">
        <v>9</v>
      </c>
      <c r="C34" t="s">
        <v>10</v>
      </c>
      <c r="E34" t="str">
        <f>'89'!BC28</f>
        <v>3,0,0,0,0,0,0,0,0,0,0,224,0,224,0,224,0,0,0,0,0,0,0,0,0,224,0,224,0,224,0,0,0,//://58</v>
      </c>
      <c r="S34" t="str">
        <f t="shared" si="0"/>
        <v>3,0,0,0,0,0,0,0,0,0,0,224,0,224,0,224,0,0,0,0,0,0,0,0,0,224,0,224,0,224,0,0,0,//://58</v>
      </c>
    </row>
    <row r="35" spans="1:19">
      <c r="A35">
        <v>59</v>
      </c>
      <c r="B35" t="s">
        <v>9</v>
      </c>
      <c r="C35" t="s">
        <v>10</v>
      </c>
      <c r="E35" t="str">
        <f>'&lt;='!A28</f>
        <v>3,0,0,0,0,0,0,0,0,0,0,224,0,224,0,224,0,0,0,0,0,0,0,0,0,224,0,224,0,96,0,224,0,//;//59</v>
      </c>
      <c r="S35" t="str">
        <f t="shared" si="0"/>
        <v>3,0,0,0,0,0,0,0,0,0,0,224,0,224,0,224,0,0,0,0,0,0,0,0,0,224,0,224,0,96,0,224,0,//;//59</v>
      </c>
    </row>
    <row r="36" spans="1:19">
      <c r="A36">
        <v>60</v>
      </c>
      <c r="B36" t="s">
        <v>9</v>
      </c>
      <c r="C36" t="s">
        <v>10</v>
      </c>
      <c r="E36" t="str">
        <f>'&lt;='!AB28</f>
        <v>8,0,0,3,0,7,0,14,0,28,0,56,0,112,0,224,0,224,0,112,0,56,0,28,0,14,0,7,0,3,0,0,0,//&lt;//60</v>
      </c>
      <c r="S36" t="str">
        <f t="shared" si="0"/>
        <v>8,0,0,3,0,7,0,14,0,28,0,56,0,112,0,224,0,224,0,112,0,56,0,28,0,14,0,7,0,3,0,0,0,//&lt;//60</v>
      </c>
    </row>
    <row r="37" spans="1:19">
      <c r="A37">
        <v>61</v>
      </c>
      <c r="B37" t="s">
        <v>9</v>
      </c>
      <c r="C37" t="s">
        <v>10</v>
      </c>
      <c r="E37" t="str">
        <f>'&lt;='!BC28</f>
        <v>9,0,0,0,0,0,0,0,0,255,128,255,128,0,0,0,0,0,0,0,0,255,128,255,128,0,0,0,0,0,0,0,0,//Н//61</v>
      </c>
      <c r="S37" t="str">
        <f t="shared" si="0"/>
        <v>9,0,0,0,0,0,0,0,0,255,128,255,128,0,0,0,0,0,0,0,0,255,128,255,128,0,0,0,0,0,0,0,0,//Н//61</v>
      </c>
    </row>
    <row r="38" spans="1:19">
      <c r="A38">
        <v>62</v>
      </c>
      <c r="B38" t="s">
        <v>9</v>
      </c>
      <c r="C38" t="s">
        <v>10</v>
      </c>
      <c r="E38" t="str">
        <f>'&gt;@'!A28</f>
        <v>8,0,0,192,0,224,0,112,0,56,0,28,0,14,0,7,0,7,0,14,0,28,0,56,0,112,0,224,0,192,0,0,0,//&gt;//62</v>
      </c>
      <c r="S38" t="str">
        <f t="shared" si="0"/>
        <v>8,0,0,192,0,224,0,112,0,56,0,28,0,14,0,7,0,7,0,14,0,28,0,56,0,112,0,224,0,192,0,0,0,//&gt;//62</v>
      </c>
    </row>
    <row r="39" spans="1:19">
      <c r="A39">
        <v>63</v>
      </c>
      <c r="B39" t="s">
        <v>9</v>
      </c>
      <c r="C39" t="s">
        <v>10</v>
      </c>
      <c r="E39" t="str">
        <f>'&gt;@'!AB28</f>
        <v>11,63,128,127,192,241,224,224,224,224,224,1,224,3,192,7,128,15,0,14,0,14,0,0,0,0,0,14,0,14,0,14,0,//?//63</v>
      </c>
      <c r="S39" t="str">
        <f t="shared" si="0"/>
        <v>11,63,128,127,192,241,224,224,224,224,224,1,224,3,192,7,128,15,0,14,0,14,0,0,0,0,0,14,0,14,0,14,0,//?//63</v>
      </c>
    </row>
    <row r="40" spans="1:19">
      <c r="A40">
        <v>64</v>
      </c>
      <c r="B40" t="s">
        <v>9</v>
      </c>
      <c r="C40" t="s">
        <v>10</v>
      </c>
      <c r="E40" t="str">
        <f>'&gt;@'!BC28</f>
        <v>12,63,192,127,224,240,240,224,112,224,112,229,112,239,112,235,112,235,112,239,240,239,224,231,128,224,0,240,112,127,224,63,192,//@//64</v>
      </c>
      <c r="S40" t="str">
        <f t="shared" si="0"/>
        <v>12,63,192,127,224,240,240,224,112,224,112,229,112,239,112,235,112,235,112,239,240,239,224,231,128,224,0,240,112,127,224,63,192,//@//64</v>
      </c>
    </row>
    <row r="41" spans="1:19">
      <c r="A41">
        <v>65</v>
      </c>
      <c r="B41" t="s">
        <v>9</v>
      </c>
      <c r="C41" t="s">
        <v>10</v>
      </c>
      <c r="E41" t="str">
        <f>ABC!A28</f>
        <v>12,63,192,127,224,224,112,224,112,224,112,224,112,224,112,255,240,255,240,224,112,224,112,224,112,224,112,224,112,224,112,224,112,//A//65</v>
      </c>
      <c r="S41" t="str">
        <f t="shared" si="0"/>
        <v>12,63,192,127,224,224,112,224,112,224,112,224,112,224,112,255,240,255,240,224,112,224,112,224,112,224,112,224,112,224,112,224,112,//A//65</v>
      </c>
    </row>
    <row r="42" spans="1:19">
      <c r="A42">
        <v>66</v>
      </c>
      <c r="B42" t="s">
        <v>9</v>
      </c>
      <c r="C42" t="s">
        <v>10</v>
      </c>
      <c r="E42" t="str">
        <f>ABC!AB28</f>
        <v>12,255,128,255,192,113,224,112,224,112,224,112,224,113,192,127,192,127,192,112,224,112,112,112,112,112,112,112,240,255,224,255,192,//B//66</v>
      </c>
      <c r="S42" t="str">
        <f t="shared" si="0"/>
        <v>12,255,128,255,192,113,224,112,224,112,224,112,224,113,192,127,192,127,192,112,224,112,112,112,112,112,112,112,240,255,224,255,192,//B//66</v>
      </c>
    </row>
    <row r="43" spans="1:19">
      <c r="A43">
        <v>67</v>
      </c>
      <c r="B43" t="s">
        <v>9</v>
      </c>
      <c r="C43" t="s">
        <v>10</v>
      </c>
      <c r="E43" t="str">
        <f>ABC!BC28</f>
        <v>12,63,192,127,224,240,240,224,112,224,0,224,0,224,0,224,0,224,0,224,0,224,0,224,0,224,112,240,240,127,224,63,192,//C//67</v>
      </c>
      <c r="S43" t="str">
        <f t="shared" si="0"/>
        <v>12,63,192,127,224,240,240,224,112,224,0,224,0,224,0,224,0,224,0,224,0,224,0,224,0,224,112,240,240,127,224,63,192,//C//67</v>
      </c>
    </row>
    <row r="44" spans="1:19">
      <c r="A44">
        <v>68</v>
      </c>
      <c r="B44" t="s">
        <v>9</v>
      </c>
      <c r="C44" t="s">
        <v>10</v>
      </c>
      <c r="E44" t="str">
        <f>DEF!A28</f>
        <v>12,255,192,255,224,112,240,112,112,112,112,112,112,112,112,112,112,112,112,112,112,112,112,112,112,112,112,112,240,255,224,255,192,//D//68</v>
      </c>
      <c r="S44" t="str">
        <f t="shared" si="0"/>
        <v>12,255,192,255,224,112,240,112,112,112,112,112,112,112,112,112,112,112,112,112,112,112,112,112,112,112,112,112,240,255,224,255,192,//D//68</v>
      </c>
    </row>
    <row r="45" spans="1:19">
      <c r="A45">
        <v>69</v>
      </c>
      <c r="B45" t="s">
        <v>9</v>
      </c>
      <c r="C45" t="s">
        <v>10</v>
      </c>
      <c r="E45" t="str">
        <f>DEF!AB28</f>
        <v>12,255,240,255,240,112,112,112,0,112,0,112,0,112,0,127,0,127,0,112,0,112,0,112,0,112,0,112,112,255,240,255,240,//E//69</v>
      </c>
      <c r="S45" t="str">
        <f t="shared" si="0"/>
        <v>12,255,240,255,240,112,112,112,0,112,0,112,0,112,0,127,0,127,0,112,0,112,0,112,0,112,0,112,112,255,240,255,240,//E//69</v>
      </c>
    </row>
    <row r="46" spans="1:19">
      <c r="A46">
        <v>70</v>
      </c>
      <c r="B46" t="s">
        <v>9</v>
      </c>
      <c r="C46" t="s">
        <v>10</v>
      </c>
      <c r="E46" t="str">
        <f>DEF!BC28</f>
        <v>12,255,240,255,240,112,112,112,0,112,0,112,0,112,0,127,0,127,0,112,0,112,0,112,0,112,0,112,0,112,0,112,0,//F//70</v>
      </c>
      <c r="S46" t="str">
        <f t="shared" si="0"/>
        <v>12,255,240,255,240,112,112,112,0,112,0,112,0,112,0,127,0,127,0,112,0,112,0,112,0,112,0,112,0,112,0,112,0,//F//70</v>
      </c>
    </row>
    <row r="47" spans="1:19">
      <c r="A47">
        <v>71</v>
      </c>
      <c r="B47" t="s">
        <v>9</v>
      </c>
      <c r="C47" t="s">
        <v>10</v>
      </c>
      <c r="E47" t="str">
        <f>GHI!A28</f>
        <v>12,63,192,127,224,240,240,224,112,224,0,224,0,224,0,231,240,231,240,224,112,224,112,224,112,224,112,240,240,127,224,63,192,//G//71</v>
      </c>
      <c r="S47" t="str">
        <f t="shared" si="0"/>
        <v>12,63,192,127,224,240,240,224,112,224,0,224,0,224,0,231,240,231,240,224,112,224,112,224,112,224,112,240,240,127,224,63,192,//G//71</v>
      </c>
    </row>
    <row r="48" spans="1:19">
      <c r="A48">
        <v>72</v>
      </c>
      <c r="B48" t="s">
        <v>9</v>
      </c>
      <c r="C48" t="s">
        <v>10</v>
      </c>
      <c r="E48" t="str">
        <f>GHI!AB28</f>
        <v>12,224,112,224,112,224,112,224,112,224,112,224,112,224,112,255,240,255,240,224,112,224,112,224,112,224,112,224,112,224,112,224,112,//H//72</v>
      </c>
      <c r="S48" t="str">
        <f t="shared" si="0"/>
        <v>12,224,112,224,112,224,112,224,112,224,112,224,112,224,112,255,240,255,240,224,112,224,112,224,112,224,112,224,112,224,112,224,112,//H//72</v>
      </c>
    </row>
    <row r="49" spans="1:19">
      <c r="A49">
        <v>73</v>
      </c>
      <c r="B49" t="s">
        <v>9</v>
      </c>
      <c r="C49" t="s">
        <v>10</v>
      </c>
      <c r="E49" t="str">
        <f>GHI!BC28</f>
        <v>7,254,0,254,0,56,0,56,0,56,0,56,0,56,0,56,0,56,0,56,0,56,0,56,0,56,0,56,0,254,0,254,0,//I//73</v>
      </c>
      <c r="S49" t="str">
        <f t="shared" si="0"/>
        <v>7,254,0,254,0,56,0,56,0,56,0,56,0,56,0,56,0,56,0,56,0,56,0,56,0,56,0,56,0,254,0,254,0,//I//73</v>
      </c>
    </row>
    <row r="50" spans="1:19">
      <c r="A50">
        <v>74</v>
      </c>
      <c r="B50" t="s">
        <v>9</v>
      </c>
      <c r="C50" t="s">
        <v>10</v>
      </c>
      <c r="E50" t="str">
        <f>JKL!A28</f>
        <v>12,7,240,7,240,1,192,1,192,1,192,1,192,1,192,1,192,1,192,1,192,1,192,225,192,225,192,243,192,127,128,63,0,//J//74</v>
      </c>
      <c r="S50" t="str">
        <f t="shared" si="0"/>
        <v>12,7,240,7,240,1,192,1,192,1,192,1,192,1,192,1,192,1,192,1,192,1,192,225,192,225,192,243,192,127,128,63,0,//J//74</v>
      </c>
    </row>
    <row r="51" spans="1:19">
      <c r="A51">
        <v>75</v>
      </c>
      <c r="B51" t="s">
        <v>9</v>
      </c>
      <c r="C51" t="s">
        <v>10</v>
      </c>
      <c r="E51" t="str">
        <f>JKL!AB28</f>
        <v>12,240,112,240,112,112,112,112,224,113,192,115,128,119,0,126,0,126,0,119,0,115,128,113,192,112,224,112,112,240,112,240,112,//K//75</v>
      </c>
      <c r="S51" t="str">
        <f t="shared" si="0"/>
        <v>12,240,112,240,112,112,112,112,224,113,192,115,128,119,0,126,0,126,0,119,0,115,128,113,192,112,224,112,112,240,112,240,112,//K//75</v>
      </c>
    </row>
    <row r="52" spans="1:19">
      <c r="A52">
        <v>76</v>
      </c>
      <c r="B52" t="s">
        <v>9</v>
      </c>
      <c r="C52" t="s">
        <v>10</v>
      </c>
      <c r="E52" t="str">
        <f>JKL!BC28</f>
        <v>10,224,0,224,0,224,0,224,0,224,0,224,0,224,0,224,0,224,0,224,0,224,0,224,0,224,0,225,192,255,192,255,192,//L//76</v>
      </c>
      <c r="S52" t="str">
        <f t="shared" si="0"/>
        <v>10,224,0,224,0,224,0,224,0,224,0,224,0,224,0,224,0,224,0,224,0,224,0,224,0,224,0,225,192,255,192,255,192,//L//76</v>
      </c>
    </row>
    <row r="53" spans="1:19">
      <c r="A53">
        <v>77</v>
      </c>
      <c r="B53" t="s">
        <v>9</v>
      </c>
      <c r="C53" t="s">
        <v>10</v>
      </c>
      <c r="E53" t="str">
        <f>MNO!A28</f>
        <v>11,224,224,224,224,241,224,241,224,251,224,255,224,255,224,238,224,238,224,228,224,224,224,224,224,224,224,224,224,224,224,224,224,//M//77</v>
      </c>
      <c r="S53" t="str">
        <f t="shared" si="0"/>
        <v>11,224,224,224,224,241,224,241,224,251,224,255,224,255,224,238,224,238,224,228,224,224,224,224,224,224,224,224,224,224,224,224,224,//M//77</v>
      </c>
    </row>
    <row r="54" spans="1:19">
      <c r="A54">
        <v>78</v>
      </c>
      <c r="B54" t="s">
        <v>9</v>
      </c>
      <c r="C54" t="s">
        <v>10</v>
      </c>
      <c r="E54" t="str">
        <f>MNO!AB28</f>
        <v>11,224,224,224,224,240,224,240,224,248,224,248,224,236,224,236,224,230,224,230,224,227,224,227,224,225,224,225,224,224,224,224,224,//N//78</v>
      </c>
      <c r="S54" t="str">
        <f t="shared" si="0"/>
        <v>11,224,224,224,224,240,224,240,224,248,224,248,224,236,224,236,224,230,224,230,224,227,224,227,224,225,224,225,224,224,224,224,224,//N//78</v>
      </c>
    </row>
    <row r="55" spans="1:19">
      <c r="A55">
        <v>79</v>
      </c>
      <c r="B55" t="s">
        <v>9</v>
      </c>
      <c r="C55" t="s">
        <v>10</v>
      </c>
      <c r="E55" t="str">
        <f>MNO!BC28</f>
        <v>12,63,192,127,224,240,240,224,112,224,112,224,112,224,112,224,112,224,112,224,112,224,112,224,112,224,112,240,240,127,224,63,192,//O//79</v>
      </c>
      <c r="S55" t="str">
        <f t="shared" si="0"/>
        <v>12,63,192,127,224,240,240,224,112,224,112,224,112,224,112,224,112,224,112,224,112,224,112,224,112,224,112,240,240,127,224,63,192,//O//79</v>
      </c>
    </row>
    <row r="56" spans="1:19">
      <c r="A56">
        <v>80</v>
      </c>
      <c r="B56" t="s">
        <v>9</v>
      </c>
      <c r="C56" t="s">
        <v>10</v>
      </c>
      <c r="E56" t="str">
        <f>PQR!A28</f>
        <v>12,255,192,255,224,112,240,112,112,112,112,112,112,112,240,127,224,127,192,112,0,112,0,112,0,112,0,112,0,112,0,112,0,//P//80</v>
      </c>
      <c r="S56" t="str">
        <f t="shared" si="0"/>
        <v>12,255,192,255,224,112,240,112,112,112,112,112,112,112,240,127,224,127,192,112,0,112,0,112,0,112,0,112,0,112,0,112,0,//P//80</v>
      </c>
    </row>
    <row r="57" spans="1:19">
      <c r="A57">
        <v>81</v>
      </c>
      <c r="B57" t="s">
        <v>9</v>
      </c>
      <c r="C57" t="s">
        <v>10</v>
      </c>
      <c r="E57" t="str">
        <f>PQR!AB28</f>
        <v>12,63,192,127,224,240,240,224,112,224,112,224,112,224,112,224,112,224,112,230,112,231,112,227,240,225,224,243,224,127,240,63,176,//Q//81</v>
      </c>
      <c r="S57" t="str">
        <f t="shared" si="0"/>
        <v>12,63,192,127,224,240,240,224,112,224,112,224,112,224,112,224,112,224,112,230,112,231,112,227,240,225,224,243,224,127,240,63,176,//Q//81</v>
      </c>
    </row>
    <row r="58" spans="1:19">
      <c r="A58">
        <v>82</v>
      </c>
      <c r="B58" t="s">
        <v>9</v>
      </c>
      <c r="C58" t="s">
        <v>10</v>
      </c>
      <c r="E58" t="str">
        <f>PQR!BC28</f>
        <v>12,255,192,255,224,112,240,112,112,112,112,112,112,112,240,127,224,127,192,127,0,119,128,115,192,113,224,112,240,112,112,112,112,//R//82</v>
      </c>
      <c r="S58" t="str">
        <f t="shared" si="0"/>
        <v>12,255,192,255,224,112,240,112,112,112,112,112,112,112,240,127,224,127,192,127,0,119,128,115,192,113,224,112,240,112,112,112,112,//R//82</v>
      </c>
    </row>
    <row r="59" spans="1:19">
      <c r="A59">
        <v>83</v>
      </c>
      <c r="B59" t="s">
        <v>9</v>
      </c>
      <c r="C59" t="s">
        <v>10</v>
      </c>
      <c r="E59" t="str">
        <f>STU!A28</f>
        <v>12,63,192,127,224,240,240,224,112,224,112,224,0,240,0,127,192,63,224,0,240,0,112,224,112,224,112,240,240,127,224,63,192,//S//83</v>
      </c>
      <c r="S59" t="str">
        <f t="shared" si="0"/>
        <v>12,63,192,127,224,240,240,224,112,224,112,224,0,240,0,127,192,63,224,0,240,0,112,224,112,224,112,240,240,127,224,63,192,//S//83</v>
      </c>
    </row>
    <row r="60" spans="1:19">
      <c r="A60">
        <v>84</v>
      </c>
      <c r="B60" t="s">
        <v>9</v>
      </c>
      <c r="C60" t="s">
        <v>10</v>
      </c>
      <c r="E60" t="str">
        <f>STU!AB28</f>
        <v>11,255,224,255,224,238,224,14,0,14,0,14,0,14,0,14,0,14,0,14,0,14,0,14,0,14,0,14,0,14,0,14,0,//T//84</v>
      </c>
      <c r="S60" t="str">
        <f t="shared" si="0"/>
        <v>11,255,224,255,224,238,224,14,0,14,0,14,0,14,0,14,0,14,0,14,0,14,0,14,0,14,0,14,0,14,0,14,0,//T//84</v>
      </c>
    </row>
    <row r="61" spans="1:19">
      <c r="A61">
        <v>85</v>
      </c>
      <c r="B61" t="s">
        <v>9</v>
      </c>
      <c r="C61" t="s">
        <v>10</v>
      </c>
      <c r="E61" t="str">
        <f>STU!BC28</f>
        <v>12,224,112,224,112,224,112,224,112,224,112,224,112,224,112,224,112,224,112,224,112,224,112,224,112,224,112,240,240,127,224,63,192,//U//85</v>
      </c>
      <c r="S61" t="str">
        <f t="shared" si="0"/>
        <v>12,224,112,224,112,224,112,224,112,224,112,224,112,224,112,224,112,224,112,224,112,224,112,224,112,224,112,240,240,127,224,63,192,//U//85</v>
      </c>
    </row>
    <row r="62" spans="1:19">
      <c r="A62">
        <v>86</v>
      </c>
      <c r="B62" t="s">
        <v>9</v>
      </c>
      <c r="C62" t="s">
        <v>10</v>
      </c>
      <c r="E62" t="str">
        <f>VWX!A28</f>
        <v>12,224,112,224,112,224,112,224,112,224,112,224,112,224,112,112,224,112,224,57,192,57,192,31,128,31,128,15,0,15,0,6,0,//V//86</v>
      </c>
      <c r="S62" t="str">
        <f t="shared" si="0"/>
        <v>12,224,112,224,112,224,112,224,112,224,112,224,112,224,112,112,224,112,224,57,192,57,192,31,128,31,128,15,0,15,0,6,0,//V//86</v>
      </c>
    </row>
    <row r="63" spans="1:19">
      <c r="A63">
        <v>87</v>
      </c>
      <c r="B63" t="s">
        <v>9</v>
      </c>
      <c r="C63" t="s">
        <v>10</v>
      </c>
      <c r="E63" t="str">
        <f>VWX!AB28</f>
        <v>12,224,112,224,112,224,112,224,112,224,112,224,112,224,112,230,112,230,112,239,112,111,96,127,224,127,224,121,224,48,192,48,192,//W//87</v>
      </c>
      <c r="S63" t="str">
        <f t="shared" si="0"/>
        <v>12,224,112,224,112,224,112,224,112,224,112,224,112,224,112,230,112,230,112,239,112,111,96,127,224,127,224,121,224,48,192,48,192,//W//87</v>
      </c>
    </row>
    <row r="64" spans="1:19">
      <c r="A64">
        <v>88</v>
      </c>
      <c r="B64" t="s">
        <v>9</v>
      </c>
      <c r="C64" t="s">
        <v>10</v>
      </c>
      <c r="E64" t="str">
        <f>VWX!BC28</f>
        <v>12,249,240,249,240,112,224,112,224,57,192,57,192,31,128,15,0,15,0,31,128,57,192,57,192,112,224,112,224,249,240,249,240,//X//88</v>
      </c>
      <c r="S64" t="str">
        <f t="shared" si="0"/>
        <v>12,249,240,249,240,112,224,112,224,57,192,57,192,31,128,15,0,15,0,31,128,57,192,57,192,112,224,112,224,249,240,249,240,//X//88</v>
      </c>
    </row>
    <row r="65" spans="1:19">
      <c r="A65">
        <v>89</v>
      </c>
      <c r="B65" t="s">
        <v>9</v>
      </c>
      <c r="C65" t="s">
        <v>10</v>
      </c>
      <c r="E65" t="str">
        <f>YZ!A28</f>
        <v>11,224,224,224,224,224,224,224,224,224,224,113,192,59,128,31,0,14,0,14,0,14,0,14,0,14,0,14,0,14,0,14,0,//Y//89</v>
      </c>
      <c r="S65" t="str">
        <f t="shared" si="0"/>
        <v>11,224,224,224,224,224,224,224,224,224,224,113,192,59,128,31,0,14,0,14,0,14,0,14,0,14,0,14,0,14,0,14,0,//Y//89</v>
      </c>
    </row>
    <row r="66" spans="1:19">
      <c r="A66">
        <v>90</v>
      </c>
      <c r="B66" t="s">
        <v>9</v>
      </c>
      <c r="C66" t="s">
        <v>10</v>
      </c>
      <c r="E66" t="str">
        <f>YZ!AB28</f>
        <v>12,255,240,255,240,224,112,0,112,0,224,1,192,3,128,7,0,14,0,28,0,56,0,112,0,224,0,224,112,255,240,255,240,//Z//90</v>
      </c>
      <c r="S66" t="str">
        <f t="shared" si="0"/>
        <v>12,255,240,255,240,224,112,0,112,0,224,1,192,3,128,7,0,14,0,28,0,56,0,112,0,224,0,224,112,255,240,255,240,//Z//90</v>
      </c>
    </row>
    <row r="67" spans="1:19">
      <c r="A67">
        <v>91</v>
      </c>
      <c r="B67" t="s">
        <v>9</v>
      </c>
      <c r="C67" t="s">
        <v>10</v>
      </c>
      <c r="E67" t="str">
        <f>YZ!BC28</f>
        <v>6,252,0,252,0,224,0,224,0,224,0,224,0,224,0,224,0,224,0,224,0,224,0,224,0,224,0,224,0,252,0,252,0,//[//91</v>
      </c>
      <c r="S67" t="str">
        <f t="shared" si="0"/>
        <v>6,252,0,252,0,224,0,224,0,224,0,224,0,224,0,224,0,224,0,224,0,224,0,224,0,224,0,224,0,252,0,252,0,//[//91</v>
      </c>
    </row>
    <row r="68" spans="1:19">
      <c r="A68">
        <v>92</v>
      </c>
      <c r="B68" t="s">
        <v>9</v>
      </c>
      <c r="C68" t="s">
        <v>10</v>
      </c>
      <c r="E68" t="str">
        <f>СКОБ!A28</f>
        <v>5,56,0,56,0,56,0,56,0,56,0,112,0,112,0,112,0,112,0,112,0,112,0,224,0,224,0,224,0,224,0,224,0,/////92</v>
      </c>
      <c r="S68" t="str">
        <f t="shared" si="0"/>
        <v>5,56,0,56,0,56,0,56,0,56,0,112,0,112,0,112,0,112,0,112,0,112,0,224,0,224,0,224,0,224,0,224,0,/////92</v>
      </c>
    </row>
    <row r="69" spans="1:19">
      <c r="A69">
        <v>93</v>
      </c>
      <c r="B69" t="s">
        <v>9</v>
      </c>
      <c r="C69" t="s">
        <v>10</v>
      </c>
      <c r="E69" t="str">
        <f>СКОБ!AB28</f>
        <v>6,252,0,252,0,28,0,28,0,28,0,28,0,28,0,28,0,28,0,28,0,28,0,28,0,28,0,28,0,252,0,252,0,//]//93</v>
      </c>
      <c r="S69" t="str">
        <f t="shared" si="0"/>
        <v>6,252,0,252,0,28,0,28,0,28,0,28,0,28,0,28,0,28,0,28,0,28,0,28,0,28,0,28,0,252,0,252,0,//]//93</v>
      </c>
    </row>
    <row r="70" spans="1:19">
      <c r="A70">
        <v>94</v>
      </c>
      <c r="B70" t="s">
        <v>9</v>
      </c>
      <c r="C70" t="s">
        <v>10</v>
      </c>
      <c r="E70" t="str">
        <f>СКОБ!BC28</f>
        <v>9,28,0,62,0,119,0,227,128,227,128,0,0,0,0,0,0,0,0,0,0,0,0,0,0,0,0,0,0,0,0,0,0,//^//94</v>
      </c>
      <c r="S70" t="str">
        <f t="shared" si="0"/>
        <v>9,28,0,62,0,119,0,227,128,227,128,0,0,0,0,0,0,0,0,0,0,0,0,0,0,0,0,0,0,0,0,0,0,//^//94</v>
      </c>
    </row>
    <row r="71" spans="1:19">
      <c r="A71">
        <v>95</v>
      </c>
      <c r="B71" t="s">
        <v>9</v>
      </c>
      <c r="C71" t="s">
        <v>10</v>
      </c>
      <c r="E71" t="str">
        <f>_a!A28</f>
        <v>9,0,0,0,0,0,0,0,0,0,0,0,0,0,0,0,0,0,0,0,0,0,0,0,0,0,0,0,0,255,128,255,128,//_//95</v>
      </c>
      <c r="S71" t="str">
        <f t="shared" si="0"/>
        <v>9,0,0,0,0,0,0,0,0,0,0,0,0,0,0,0,0,0,0,0,0,0,0,0,0,0,0,0,0,255,128,255,128,//_//95</v>
      </c>
    </row>
    <row r="72" spans="1:19">
      <c r="A72">
        <v>96</v>
      </c>
      <c r="B72" t="s">
        <v>9</v>
      </c>
      <c r="C72" t="s">
        <v>10</v>
      </c>
      <c r="E72" t="str">
        <f>_a!AB28</f>
        <v>6,224,0,112,0,56,0,28,0,0,0,0,0,0,0,0,0,0,0,0,0,0,0,0,0,0,0,0,0,0,0,0,0,//`//96</v>
      </c>
      <c r="S72" t="str">
        <f t="shared" si="0"/>
        <v>6,224,0,112,0,56,0,28,0,0,0,0,0,0,0,0,0,0,0,0,0,0,0,0,0,0,0,0,0,0,0,0,0,//`//96</v>
      </c>
    </row>
    <row r="73" spans="1:19">
      <c r="A73">
        <v>97</v>
      </c>
      <c r="E73" t="str">
        <f>_a!BC28</f>
        <v>11,0,0,0,0,0,0,0,0,63,128,127,192,3,192,1,192,63,192,127,192,241,192,225,192,225,192,243,192,127,224,62,224,//a//97</v>
      </c>
      <c r="S73" t="str">
        <f t="shared" si="0"/>
        <v>11,0,0,0,0,0,0,0,0,63,128,127,192,3,192,1,192,63,192,127,192,241,192,225,192,225,192,243,192,127,224,62,224,//a//97</v>
      </c>
    </row>
    <row r="74" spans="1:19">
      <c r="A74">
        <v>98</v>
      </c>
      <c r="E74" t="str">
        <f>bcd!A28</f>
        <v>10,224,0,224,0,224,0,224,0,239,0,255,128,243,192,225,192,225,192,225,192,225,192,225,192,225,192,243,192,255,128,239,0,//b//98</v>
      </c>
      <c r="S74" t="str">
        <f t="shared" ref="S74:S103" si="1">E74</f>
        <v>10,224,0,224,0,224,0,224,0,239,0,255,128,243,192,225,192,225,192,225,192,225,192,225,192,225,192,243,192,255,128,239,0,//b//98</v>
      </c>
    </row>
    <row r="75" spans="1:19">
      <c r="A75">
        <v>99</v>
      </c>
      <c r="E75" t="str">
        <f>bcd!AB28</f>
        <v>10,0,0,0,0,0,0,0,0,63,0,127,128,243,192,225,192,224,0,224,0,224,0,224,0,225,192,243,192,127,128,63,0,//c//99</v>
      </c>
      <c r="S75" t="str">
        <f t="shared" si="1"/>
        <v>10,0,0,0,0,0,0,0,0,63,0,127,128,243,192,225,192,224,0,224,0,224,0,224,0,225,192,243,192,127,128,63,0,//c//99</v>
      </c>
    </row>
    <row r="76" spans="1:19">
      <c r="A76">
        <v>100</v>
      </c>
      <c r="E76" t="str">
        <f>bcd!BC28</f>
        <v>10,1,192,1,192,1,192,1,192,61,192,127,192,243,192,225,192,225,192,225,192,225,192,225,192,225,192,243,192,127,192,61,192,//d//100</v>
      </c>
      <c r="S76" t="str">
        <f t="shared" si="1"/>
        <v>10,1,192,1,192,1,192,1,192,61,192,127,192,243,192,225,192,225,192,225,192,225,192,225,192,225,192,243,192,127,192,61,192,//d//100</v>
      </c>
    </row>
    <row r="77" spans="1:19">
      <c r="A77">
        <v>101</v>
      </c>
      <c r="E77" t="str">
        <f>efg!A28</f>
        <v>10,0,0,0,0,0,0,0,0,63,0,127,128,243,192,225,192,225,192,255,192,255,192,224,0,225,192,243,192,127,128,63,0,//e//101</v>
      </c>
      <c r="S77" t="str">
        <f t="shared" si="1"/>
        <v>10,0,0,0,0,0,0,0,0,63,0,127,128,243,192,225,192,225,192,255,192,255,192,224,0,225,192,243,192,127,128,63,0,//e//101</v>
      </c>
    </row>
    <row r="78" spans="1:19">
      <c r="A78">
        <v>102</v>
      </c>
      <c r="E78" t="str">
        <f>efg!AB28</f>
        <v>8,15,0,31,0,60,0,56,0,255,0,255,0,56,0,56,0,56,0,56,0,56,0,56,0,56,0,56,0,56,0,56,0,//f//102</v>
      </c>
      <c r="S78" t="str">
        <f t="shared" si="1"/>
        <v>8,15,0,31,0,60,0,56,0,255,0,255,0,56,0,56,0,56,0,56,0,56,0,56,0,56,0,56,0,56,0,56,0,//f//102</v>
      </c>
    </row>
    <row r="79" spans="1:19">
      <c r="A79">
        <v>103</v>
      </c>
      <c r="E79" t="str">
        <f>efg!BC28</f>
        <v>10,0,0,0,0,0,0,0,0,61,192,127,192,243,192,225,192,243,192,127,192,61,192,1,192,225,192,243,192,127,128,63,0,//g//103</v>
      </c>
      <c r="S79" t="str">
        <f t="shared" si="1"/>
        <v>10,0,0,0,0,0,0,0,0,61,192,127,192,243,192,225,192,243,192,127,192,61,192,1,192,225,192,243,192,127,128,63,0,//g//103</v>
      </c>
    </row>
    <row r="80" spans="1:19">
      <c r="A80">
        <v>104</v>
      </c>
      <c r="E80" t="str">
        <f>hij!A28</f>
        <v>10,224,0,224,0,224,0,224,0,239,0,255,128,243,192,225,192,225,192,225,192,225,192,225,192,225,192,225,192,225,192,225,192,//h//104</v>
      </c>
      <c r="S80" t="str">
        <f t="shared" si="1"/>
        <v>10,224,0,224,0,224,0,224,0,239,0,255,128,243,192,225,192,225,192,225,192,225,192,225,192,225,192,225,192,225,192,225,192,//h//104</v>
      </c>
    </row>
    <row r="81" spans="1:19">
      <c r="A81">
        <v>105</v>
      </c>
      <c r="E81" t="str">
        <f>hij!AB28</f>
        <v>5,112,0,112,0,112,0,0,0,240,0,240,0,112,0,112,0,112,0,112,0,112,0,112,0,112,0,112,0,248,0,248,0,//i//105</v>
      </c>
      <c r="S81" t="str">
        <f t="shared" si="1"/>
        <v>5,112,0,112,0,112,0,0,0,240,0,240,0,112,0,112,0,112,0,112,0,112,0,112,0,112,0,112,0,248,0,248,0,//i//105</v>
      </c>
    </row>
    <row r="82" spans="1:19">
      <c r="A82">
        <v>106</v>
      </c>
      <c r="E82" t="str">
        <f>hij!BC28</f>
        <v>7,14,0,14,0,14,0,0,0,30,0,30,0,14,0,14,0,14,0,14,0,14,0,14,0,238,0,254,0,124,0,56,0,//j//106</v>
      </c>
      <c r="S82" t="str">
        <f t="shared" si="1"/>
        <v>7,14,0,14,0,14,0,0,0,30,0,30,0,14,0,14,0,14,0,14,0,14,0,14,0,238,0,254,0,124,0,56,0,//j//106</v>
      </c>
    </row>
    <row r="83" spans="1:19">
      <c r="A83">
        <v>107</v>
      </c>
      <c r="E83" t="str">
        <f>klm!A28</f>
        <v>10,224,0,224,0,224,0,224,0,225,192,227,192,231,128,239,0,254,0,252,0,252,0,254,0,239,0,231,128,227,192,225,192,//k//107</v>
      </c>
      <c r="S83" t="str">
        <f t="shared" si="1"/>
        <v>10,224,0,224,0,224,0,224,0,225,192,227,192,231,128,239,0,254,0,252,0,252,0,254,0,239,0,231,128,227,192,225,192,//k//107</v>
      </c>
    </row>
    <row r="84" spans="1:19">
      <c r="A84">
        <v>108</v>
      </c>
      <c r="E84" t="str">
        <f>klm!AB28</f>
        <v>4,224,0,224,0,224,0,224,0,224,0,224,0,224,0,224,0,224,0,224,0,224,0,224,0,224,0,240,0,240,0,112,0,//l//108</v>
      </c>
      <c r="S84" t="str">
        <f t="shared" si="1"/>
        <v>4,224,0,224,0,224,0,224,0,224,0,224,0,224,0,224,0,224,0,224,0,224,0,224,0,224,0,240,0,240,0,112,0,//l//108</v>
      </c>
    </row>
    <row r="85" spans="1:19">
      <c r="A85">
        <v>109</v>
      </c>
      <c r="E85" t="str">
        <f>klm!BC28</f>
        <v>11,0,0,0,0,0,0,0,0,255,128,255,192,255,224,238,224,238,224,238,224,238,224,238,224,238,224,238,224,238,224,238,224,//m//109</v>
      </c>
      <c r="S85" t="str">
        <f t="shared" si="1"/>
        <v>11,0,0,0,0,0,0,0,0,255,128,255,192,255,224,238,224,238,224,238,224,238,224,238,224,238,224,238,224,238,224,238,224,//m//109</v>
      </c>
    </row>
    <row r="86" spans="1:19">
      <c r="A86">
        <v>110</v>
      </c>
      <c r="E86" t="str">
        <f>nop!A28</f>
        <v>10,0,0,0,0,0,0,0,0,239,0,255,128,243,192,225,192,225,192,225,192,225,192,225,192,225,192,225,192,225,192,225,192,//n//110</v>
      </c>
      <c r="S86" t="str">
        <f t="shared" si="1"/>
        <v>10,0,0,0,0,0,0,0,0,239,0,255,128,243,192,225,192,225,192,225,192,225,192,225,192,225,192,225,192,225,192,225,192,//n//110</v>
      </c>
    </row>
    <row r="87" spans="1:19">
      <c r="A87">
        <v>111</v>
      </c>
      <c r="E87" t="str">
        <f>nop!AB28</f>
        <v>10,0,0,0,0,0,0,0,0,63,0,127,128,243,192,225,192,225,192,225,192,225,192,225,192,225,192,243,192,127,128,63,0,//o//111</v>
      </c>
      <c r="S87" t="str">
        <f t="shared" si="1"/>
        <v>10,0,0,0,0,0,0,0,0,63,0,127,128,243,192,225,192,225,192,225,192,225,192,225,192,225,192,243,192,127,128,63,0,//o//111</v>
      </c>
    </row>
    <row r="88" spans="1:19">
      <c r="A88">
        <v>112</v>
      </c>
      <c r="E88" t="str">
        <f>nop!BC28</f>
        <v>10,0,0,0,0,0,0,0,0,0,0,239,0,255,128,243,192,225,192,225,192,225,192,243,192,255,128,239,0,224,0,224,0,//p//112</v>
      </c>
      <c r="S88" t="str">
        <f t="shared" si="1"/>
        <v>10,0,0,0,0,0,0,0,0,0,0,239,0,255,128,243,192,225,192,225,192,225,192,243,192,255,128,239,0,224,0,224,0,//p//112</v>
      </c>
    </row>
    <row r="89" spans="1:19">
      <c r="A89">
        <v>113</v>
      </c>
      <c r="E89" t="str">
        <f>qrs!A28</f>
        <v>10,0,0,0,0,0,0,0,0,61,192,127,192,243,192,225,192,225,192,225,192,243,192,127,192,61,192,1,192,1,192,1,192,//q//113</v>
      </c>
      <c r="S89" t="str">
        <f t="shared" si="1"/>
        <v>10,0,0,0,0,0,0,0,0,61,192,127,192,243,192,225,192,225,192,225,192,243,192,127,192,61,192,1,192,1,192,1,192,//q//113</v>
      </c>
    </row>
    <row r="90" spans="1:19">
      <c r="A90">
        <v>114</v>
      </c>
      <c r="E90" t="str">
        <f>qrs!AB28</f>
        <v>7,0,0,0,0,0,0,0,0,238,0,254,0,240,0,224,0,224,0,224,0,224,0,224,0,224,0,224,0,224,0,224,0,//r//114</v>
      </c>
      <c r="S90" t="str">
        <f t="shared" si="1"/>
        <v>7,0,0,0,0,0,0,0,0,238,0,254,0,240,0,224,0,224,0,224,0,224,0,224,0,224,0,224,0,224,0,224,0,//r//114</v>
      </c>
    </row>
    <row r="91" spans="1:19">
      <c r="A91">
        <v>115</v>
      </c>
      <c r="E91" t="str">
        <f>qrs!BC28</f>
        <v>10,0,0,0,0,0,0,0,0,63,0,127,128,243,192,225,192,240,0,127,0,63,128,3,192,225,192,243,192,127,128,63,0,//s//115</v>
      </c>
      <c r="S91" t="str">
        <f t="shared" si="1"/>
        <v>10,0,0,0,0,0,0,0,0,63,0,127,128,243,192,225,192,240,0,127,0,63,128,3,192,225,192,243,192,127,128,63,0,//s//115</v>
      </c>
    </row>
    <row r="92" spans="1:19">
      <c r="A92">
        <v>116</v>
      </c>
      <c r="E92" t="str">
        <f>tuv!A28</f>
        <v>7,8,0,24,0,56,0,56,0,254,0,254,0,56,0,56,0,56,0,56,0,56,0,56,0,56,0,56,0,30,0,14,0,//t//116</v>
      </c>
      <c r="S92" t="str">
        <f t="shared" si="1"/>
        <v>7,8,0,24,0,56,0,56,0,254,0,254,0,56,0,56,0,56,0,56,0,56,0,56,0,56,0,56,0,30,0,14,0,//t//116</v>
      </c>
    </row>
    <row r="93" spans="1:19">
      <c r="A93">
        <v>117</v>
      </c>
      <c r="E93" t="str">
        <f>tuv!AB28</f>
        <v>10,0,0,0,0,0,0,0,0,225,192,225,192,225,192,225,192,225,192,225,192,225,192,225,192,225,192,243,192,127,192,61,192,//u//117</v>
      </c>
      <c r="S93" t="str">
        <f t="shared" si="1"/>
        <v>10,0,0,0,0,0,0,0,0,225,192,225,192,225,192,225,192,225,192,225,192,225,192,225,192,225,192,243,192,127,192,61,192,//u//117</v>
      </c>
    </row>
    <row r="94" spans="1:19">
      <c r="A94">
        <v>118</v>
      </c>
      <c r="E94" t="str">
        <f>tuv!BC28</f>
        <v>10,0,0,0,0,0,0,0,0,225,192,225,192,225,192,225,192,115,128,115,128,51,0,63,0,30,0,30,0,12,0,12,0,//v//118</v>
      </c>
      <c r="S94" t="str">
        <f t="shared" si="1"/>
        <v>10,0,0,0,0,0,0,0,0,225,192,225,192,225,192,225,192,115,128,115,128,51,0,63,0,30,0,30,0,12,0,12,0,//v//118</v>
      </c>
    </row>
    <row r="95" spans="1:19">
      <c r="A95">
        <v>119</v>
      </c>
      <c r="E95" t="str">
        <f>wxy!A28</f>
        <v>12,0,0,0,0,0,0,0,0,224,112,224,112,224,112,230,112,230,112,239,112,255,240,127,224,121,224,121,224,48,192,48,192,//w//119</v>
      </c>
      <c r="S95" t="str">
        <f t="shared" si="1"/>
        <v>12,0,0,0,0,0,0,0,0,224,112,224,112,224,112,230,112,230,112,239,112,255,240,127,224,121,224,121,224,48,192,48,192,//w//119</v>
      </c>
    </row>
    <row r="96" spans="1:19">
      <c r="A96">
        <v>120</v>
      </c>
      <c r="E96" t="str">
        <f>wxy!AB28</f>
        <v>10,0,0,0,0,0,0,0,0,225,192,225,192,243,192,127,128,63,0,30,0,30,0,63,0,127,128,243,192,225,192,225,192,//x//120</v>
      </c>
      <c r="S96" t="str">
        <f t="shared" si="1"/>
        <v>10,0,0,0,0,0,0,0,0,225,192,225,192,243,192,127,128,63,0,30,0,30,0,63,0,127,128,243,192,225,192,225,192,//x//120</v>
      </c>
    </row>
    <row r="97" spans="1:19">
      <c r="A97">
        <v>121</v>
      </c>
      <c r="E97" t="str">
        <f>wxy!BC28</f>
        <v>11,0,0,0,0,0,0,0,0,224,224,224,224,113,192,113,192,59,128,59,128,31,0,31,0,14,0,30,0,252,0,120,0,//У//121</v>
      </c>
      <c r="S97" t="str">
        <f t="shared" si="1"/>
        <v>11,0,0,0,0,0,0,0,0,224,224,224,224,113,192,113,192,59,128,59,128,31,0,31,0,14,0,30,0,252,0,120,0,//У//121</v>
      </c>
    </row>
    <row r="98" spans="1:19">
      <c r="A98">
        <v>122</v>
      </c>
      <c r="E98" t="str">
        <f>'z{'!A28</f>
        <v>10,0,0,0,0,0,0,0,0,255,192,255,192,193,192,3,128,7,0,14,0,28,0,56,0,112,0,225,192,255,192,255,192,//z//122</v>
      </c>
      <c r="S98" t="str">
        <f t="shared" si="1"/>
        <v>10,0,0,0,0,0,0,0,0,255,192,255,192,193,192,3,128,7,0,14,0,28,0,56,0,112,0,225,192,255,192,255,192,//z//122</v>
      </c>
    </row>
    <row r="99" spans="1:19">
      <c r="A99">
        <v>123</v>
      </c>
      <c r="E99" t="str">
        <f>'z{'!AB28</f>
        <v>8,15,0,31,0,60,0,56,0,56,0,56,0,120,0,240,0,240,0,120,0,56,0,56,0,56,0,60,0,31,0,15,0,//{//123</v>
      </c>
      <c r="S99" t="str">
        <f t="shared" si="1"/>
        <v>8,15,0,31,0,60,0,56,0,56,0,56,0,120,0,240,0,240,0,120,0,56,0,56,0,56,0,60,0,31,0,15,0,//{//123</v>
      </c>
    </row>
    <row r="100" spans="1:19">
      <c r="A100">
        <v>124</v>
      </c>
      <c r="E100" t="str">
        <f>'z{'!BC28</f>
        <v>3,224,0,224,0,224,0,224,0,224,0,224,0,224,0,224,0,224,0,224,0,224,0,224,0,224,0,224,0,224,0,224,0,//|//124</v>
      </c>
      <c r="S100" t="str">
        <f t="shared" si="1"/>
        <v>3,224,0,224,0,224,0,224,0,224,0,224,0,224,0,224,0,224,0,224,0,224,0,224,0,224,0,224,0,224,0,224,0,//|//124</v>
      </c>
    </row>
    <row r="101" spans="1:19">
      <c r="A101">
        <v>125</v>
      </c>
      <c r="E101" t="str">
        <f>'}`'!A28</f>
        <v>8,240,0,248,0,60,0,28,0,28,0,28,0,30,0,15,0,15,0,30,0,28,0,28,0,28,0,60,0,248,0,240,0,//}//125</v>
      </c>
      <c r="S101" t="str">
        <f t="shared" si="1"/>
        <v>8,240,0,248,0,60,0,28,0,28,0,28,0,30,0,15,0,15,0,30,0,28,0,28,0,28,0,60,0,248,0,240,0,//}//125</v>
      </c>
    </row>
    <row r="102" spans="1:19">
      <c r="A102">
        <v>126</v>
      </c>
      <c r="E102" t="str">
        <f>'}`'!AB28</f>
        <v>12,0,0,0,0,0,0,0,0,0,0,60,112,126,240,247,224,227,192,0,0,0,0,0,0,0,0,0,0,0,0,0,0,//~//126</v>
      </c>
      <c r="S102" t="str">
        <f t="shared" si="1"/>
        <v>12,0,0,0,0,0,0,0,0,0,0,60,112,126,240,247,224,227,192,0,0,0,0,0,0,0,0,0,0,0,0,0,0,//~//126</v>
      </c>
    </row>
    <row r="103" spans="1:19">
      <c r="A103">
        <v>127</v>
      </c>
      <c r="E103" t="str">
        <f>'}`'!BC28</f>
        <v>9,255,128,255,128,227,128,227,128,227,128,227,128,227,128,227,128,227,128,227,128,227,128,227,128,227,128,227,128,255,128,255,128,//0//127</v>
      </c>
      <c r="S103" t="str">
        <f t="shared" si="1"/>
        <v>9,255,128,255,128,227,128,227,128,227,128,227,128,227,128,227,128,227,128,227,128,227,128,227,128,227,128,227,128,255,128,255,128,//0//127</v>
      </c>
    </row>
  </sheetData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>
  <dimension ref="F32:G127"/>
  <sheetViews>
    <sheetView topLeftCell="A96" workbookViewId="0">
      <selection activeCell="F127" sqref="F127"/>
    </sheetView>
  </sheetViews>
  <sheetFormatPr defaultRowHeight="15"/>
  <cols>
    <col min="5" max="5" width="3.7109375" customWidth="1"/>
    <col min="6" max="6" width="27" customWidth="1"/>
  </cols>
  <sheetData>
    <row r="32" spans="6:7">
      <c r="F32" t="s">
        <v>27</v>
      </c>
      <c r="G32" t="s">
        <v>28</v>
      </c>
    </row>
    <row r="33" spans="6:7">
      <c r="F33" t="s">
        <v>29</v>
      </c>
      <c r="G33" t="s">
        <v>30</v>
      </c>
    </row>
    <row r="34" spans="6:7">
      <c r="F34" t="s">
        <v>31</v>
      </c>
      <c r="G34" t="s">
        <v>32</v>
      </c>
    </row>
    <row r="35" spans="6:7">
      <c r="F35" t="s">
        <v>33</v>
      </c>
      <c r="G35" t="s">
        <v>34</v>
      </c>
    </row>
    <row r="36" spans="6:7">
      <c r="F36" t="s">
        <v>35</v>
      </c>
      <c r="G36" t="s">
        <v>36</v>
      </c>
    </row>
    <row r="37" spans="6:7">
      <c r="F37" t="s">
        <v>37</v>
      </c>
      <c r="G37" t="s">
        <v>38</v>
      </c>
    </row>
    <row r="38" spans="6:7">
      <c r="F38" t="s">
        <v>39</v>
      </c>
      <c r="G38" t="s">
        <v>40</v>
      </c>
    </row>
    <row r="39" spans="6:7">
      <c r="F39" t="s">
        <v>41</v>
      </c>
      <c r="G39" t="s">
        <v>42</v>
      </c>
    </row>
    <row r="40" spans="6:7">
      <c r="F40" t="s">
        <v>43</v>
      </c>
      <c r="G40" t="s">
        <v>44</v>
      </c>
    </row>
    <row r="41" spans="6:7">
      <c r="F41" t="s">
        <v>45</v>
      </c>
      <c r="G41" t="s">
        <v>46</v>
      </c>
    </row>
    <row r="42" spans="6:7">
      <c r="F42" t="s">
        <v>47</v>
      </c>
      <c r="G42" t="s">
        <v>48</v>
      </c>
    </row>
    <row r="43" spans="6:7">
      <c r="F43" t="s">
        <v>49</v>
      </c>
      <c r="G43" t="s">
        <v>50</v>
      </c>
    </row>
    <row r="44" spans="6:7">
      <c r="F44" t="s">
        <v>51</v>
      </c>
      <c r="G44" t="s">
        <v>52</v>
      </c>
    </row>
    <row r="45" spans="6:7">
      <c r="F45" t="s">
        <v>53</v>
      </c>
      <c r="G45" t="s">
        <v>54</v>
      </c>
    </row>
    <row r="46" spans="6:7">
      <c r="F46" t="s">
        <v>55</v>
      </c>
      <c r="G46" t="s">
        <v>56</v>
      </c>
    </row>
    <row r="47" spans="6:7">
      <c r="F47" t="s">
        <v>57</v>
      </c>
      <c r="G47" t="s">
        <v>58</v>
      </c>
    </row>
    <row r="48" spans="6:7">
      <c r="F48" t="s">
        <v>59</v>
      </c>
      <c r="G48" t="s">
        <v>60</v>
      </c>
    </row>
    <row r="49" spans="6:7">
      <c r="F49" t="s">
        <v>61</v>
      </c>
      <c r="G49" t="s">
        <v>62</v>
      </c>
    </row>
    <row r="50" spans="6:7">
      <c r="F50" t="s">
        <v>63</v>
      </c>
      <c r="G50" t="s">
        <v>64</v>
      </c>
    </row>
    <row r="51" spans="6:7">
      <c r="F51" t="s">
        <v>65</v>
      </c>
      <c r="G51" t="s">
        <v>66</v>
      </c>
    </row>
    <row r="52" spans="6:7">
      <c r="F52" t="s">
        <v>67</v>
      </c>
      <c r="G52" t="s">
        <v>68</v>
      </c>
    </row>
    <row r="53" spans="6:7">
      <c r="F53" t="s">
        <v>69</v>
      </c>
      <c r="G53" t="s">
        <v>70</v>
      </c>
    </row>
    <row r="54" spans="6:7">
      <c r="F54" t="s">
        <v>71</v>
      </c>
      <c r="G54" t="s">
        <v>72</v>
      </c>
    </row>
    <row r="55" spans="6:7">
      <c r="F55" t="s">
        <v>73</v>
      </c>
      <c r="G55" t="s">
        <v>74</v>
      </c>
    </row>
    <row r="56" spans="6:7">
      <c r="F56" t="s">
        <v>75</v>
      </c>
      <c r="G56" t="s">
        <v>76</v>
      </c>
    </row>
    <row r="57" spans="6:7">
      <c r="F57" t="s">
        <v>77</v>
      </c>
      <c r="G57" t="s">
        <v>78</v>
      </c>
    </row>
    <row r="58" spans="6:7">
      <c r="F58" t="s">
        <v>79</v>
      </c>
      <c r="G58" t="s">
        <v>80</v>
      </c>
    </row>
    <row r="59" spans="6:7">
      <c r="F59" t="s">
        <v>81</v>
      </c>
      <c r="G59" t="s">
        <v>82</v>
      </c>
    </row>
    <row r="60" spans="6:7">
      <c r="F60" t="s">
        <v>83</v>
      </c>
      <c r="G60" t="s">
        <v>84</v>
      </c>
    </row>
    <row r="61" spans="6:7">
      <c r="F61" t="s">
        <v>85</v>
      </c>
      <c r="G61" t="s">
        <v>86</v>
      </c>
    </row>
    <row r="62" spans="6:7">
      <c r="F62" t="s">
        <v>87</v>
      </c>
      <c r="G62" t="s">
        <v>88</v>
      </c>
    </row>
    <row r="63" spans="6:7">
      <c r="F63" t="s">
        <v>89</v>
      </c>
      <c r="G63" t="s">
        <v>90</v>
      </c>
    </row>
    <row r="64" spans="6:7">
      <c r="F64" t="s">
        <v>91</v>
      </c>
      <c r="G64" t="s">
        <v>92</v>
      </c>
    </row>
    <row r="65" spans="6:7">
      <c r="F65" t="s">
        <v>93</v>
      </c>
      <c r="G65" t="s">
        <v>94</v>
      </c>
    </row>
    <row r="66" spans="6:7">
      <c r="F66" t="s">
        <v>95</v>
      </c>
      <c r="G66" t="s">
        <v>96</v>
      </c>
    </row>
    <row r="67" spans="6:7">
      <c r="F67" t="s">
        <v>97</v>
      </c>
      <c r="G67" t="s">
        <v>98</v>
      </c>
    </row>
    <row r="68" spans="6:7">
      <c r="F68" t="s">
        <v>99</v>
      </c>
      <c r="G68" t="s">
        <v>100</v>
      </c>
    </row>
    <row r="69" spans="6:7">
      <c r="F69" t="s">
        <v>101</v>
      </c>
      <c r="G69" t="s">
        <v>102</v>
      </c>
    </row>
    <row r="70" spans="6:7">
      <c r="F70" t="s">
        <v>103</v>
      </c>
      <c r="G70" t="s">
        <v>104</v>
      </c>
    </row>
    <row r="71" spans="6:7">
      <c r="F71" t="s">
        <v>105</v>
      </c>
      <c r="G71" t="s">
        <v>106</v>
      </c>
    </row>
    <row r="72" spans="6:7">
      <c r="F72" t="s">
        <v>107</v>
      </c>
      <c r="G72" t="s">
        <v>108</v>
      </c>
    </row>
    <row r="73" spans="6:7">
      <c r="F73" t="s">
        <v>109</v>
      </c>
      <c r="G73" t="s">
        <v>110</v>
      </c>
    </row>
    <row r="74" spans="6:7">
      <c r="F74" t="s">
        <v>111</v>
      </c>
      <c r="G74" t="s">
        <v>112</v>
      </c>
    </row>
    <row r="75" spans="6:7">
      <c r="F75" t="s">
        <v>113</v>
      </c>
      <c r="G75" t="s">
        <v>114</v>
      </c>
    </row>
    <row r="76" spans="6:7">
      <c r="F76" t="s">
        <v>115</v>
      </c>
      <c r="G76" t="s">
        <v>116</v>
      </c>
    </row>
    <row r="77" spans="6:7">
      <c r="F77" t="s">
        <v>117</v>
      </c>
      <c r="G77" t="s">
        <v>118</v>
      </c>
    </row>
    <row r="78" spans="6:7">
      <c r="F78" t="s">
        <v>119</v>
      </c>
      <c r="G78" t="s">
        <v>120</v>
      </c>
    </row>
    <row r="79" spans="6:7">
      <c r="F79" t="s">
        <v>59</v>
      </c>
      <c r="G79" t="s">
        <v>121</v>
      </c>
    </row>
    <row r="80" spans="6:7">
      <c r="F80" t="s">
        <v>122</v>
      </c>
      <c r="G80" t="s">
        <v>123</v>
      </c>
    </row>
    <row r="81" spans="6:7">
      <c r="F81" t="s">
        <v>124</v>
      </c>
      <c r="G81" t="s">
        <v>125</v>
      </c>
    </row>
    <row r="82" spans="6:7">
      <c r="F82" t="s">
        <v>126</v>
      </c>
      <c r="G82" t="s">
        <v>127</v>
      </c>
    </row>
    <row r="83" spans="6:7">
      <c r="F83" t="s">
        <v>128</v>
      </c>
      <c r="G83" t="s">
        <v>129</v>
      </c>
    </row>
    <row r="84" spans="6:7">
      <c r="F84" t="s">
        <v>130</v>
      </c>
      <c r="G84" t="s">
        <v>131</v>
      </c>
    </row>
    <row r="85" spans="6:7">
      <c r="F85" t="s">
        <v>132</v>
      </c>
      <c r="G85" t="s">
        <v>133</v>
      </c>
    </row>
    <row r="86" spans="6:7">
      <c r="F86" t="s">
        <v>134</v>
      </c>
      <c r="G86" t="s">
        <v>135</v>
      </c>
    </row>
    <row r="87" spans="6:7">
      <c r="F87" t="s">
        <v>136</v>
      </c>
      <c r="G87" t="s">
        <v>137</v>
      </c>
    </row>
    <row r="88" spans="6:7">
      <c r="F88" t="s">
        <v>138</v>
      </c>
      <c r="G88" t="s">
        <v>139</v>
      </c>
    </row>
    <row r="89" spans="6:7">
      <c r="F89" t="s">
        <v>140</v>
      </c>
      <c r="G89" t="s">
        <v>141</v>
      </c>
    </row>
    <row r="90" spans="6:7">
      <c r="F90" t="s">
        <v>142</v>
      </c>
      <c r="G90" t="s">
        <v>143</v>
      </c>
    </row>
    <row r="91" spans="6:7">
      <c r="F91" t="s">
        <v>144</v>
      </c>
      <c r="G91" t="s">
        <v>145</v>
      </c>
    </row>
    <row r="92" spans="6:7">
      <c r="F92" t="s">
        <v>57</v>
      </c>
      <c r="G92" t="s">
        <v>146</v>
      </c>
    </row>
    <row r="93" spans="6:7">
      <c r="F93" t="s">
        <v>147</v>
      </c>
      <c r="G93" t="s">
        <v>148</v>
      </c>
    </row>
    <row r="94" spans="6:7">
      <c r="F94" t="s">
        <v>149</v>
      </c>
      <c r="G94" t="s">
        <v>150</v>
      </c>
    </row>
    <row r="95" spans="6:7">
      <c r="F95" t="s">
        <v>151</v>
      </c>
      <c r="G95" t="s">
        <v>152</v>
      </c>
    </row>
    <row r="96" spans="6:7">
      <c r="F96" t="s">
        <v>153</v>
      </c>
      <c r="G96" t="s">
        <v>154</v>
      </c>
    </row>
    <row r="97" spans="6:7">
      <c r="F97" t="s">
        <v>155</v>
      </c>
      <c r="G97" t="s">
        <v>156</v>
      </c>
    </row>
    <row r="98" spans="6:7">
      <c r="F98" t="s">
        <v>157</v>
      </c>
      <c r="G98" t="s">
        <v>158</v>
      </c>
    </row>
    <row r="99" spans="6:7">
      <c r="F99" t="s">
        <v>159</v>
      </c>
      <c r="G99" t="s">
        <v>160</v>
      </c>
    </row>
    <row r="100" spans="6:7">
      <c r="F100" t="s">
        <v>161</v>
      </c>
      <c r="G100" t="s">
        <v>162</v>
      </c>
    </row>
    <row r="101" spans="6:7">
      <c r="F101" t="s">
        <v>163</v>
      </c>
      <c r="G101" t="s">
        <v>164</v>
      </c>
    </row>
    <row r="102" spans="6:7">
      <c r="F102" t="s">
        <v>165</v>
      </c>
      <c r="G102" t="s">
        <v>166</v>
      </c>
    </row>
    <row r="103" spans="6:7">
      <c r="F103" t="s">
        <v>167</v>
      </c>
      <c r="G103" t="s">
        <v>168</v>
      </c>
    </row>
    <row r="104" spans="6:7">
      <c r="F104" t="s">
        <v>169</v>
      </c>
      <c r="G104" t="s">
        <v>170</v>
      </c>
    </row>
    <row r="105" spans="6:7">
      <c r="F105" t="s">
        <v>171</v>
      </c>
      <c r="G105" t="s">
        <v>172</v>
      </c>
    </row>
    <row r="106" spans="6:7">
      <c r="F106" t="s">
        <v>173</v>
      </c>
      <c r="G106" t="s">
        <v>174</v>
      </c>
    </row>
    <row r="107" spans="6:7">
      <c r="F107" t="s">
        <v>175</v>
      </c>
      <c r="G107" t="s">
        <v>176</v>
      </c>
    </row>
    <row r="108" spans="6:7">
      <c r="F108" t="s">
        <v>177</v>
      </c>
      <c r="G108" t="s">
        <v>178</v>
      </c>
    </row>
    <row r="109" spans="6:7">
      <c r="F109" t="s">
        <v>179</v>
      </c>
      <c r="G109" t="s">
        <v>180</v>
      </c>
    </row>
    <row r="110" spans="6:7">
      <c r="F110" t="s">
        <v>181</v>
      </c>
      <c r="G110" t="s">
        <v>182</v>
      </c>
    </row>
    <row r="111" spans="6:7">
      <c r="F111" t="s">
        <v>183</v>
      </c>
      <c r="G111" t="s">
        <v>184</v>
      </c>
    </row>
    <row r="112" spans="6:7">
      <c r="F112" t="s">
        <v>185</v>
      </c>
      <c r="G112" t="s">
        <v>186</v>
      </c>
    </row>
    <row r="113" spans="6:7">
      <c r="F113" t="s">
        <v>187</v>
      </c>
      <c r="G113" t="s">
        <v>188</v>
      </c>
    </row>
    <row r="114" spans="6:7">
      <c r="F114" t="s">
        <v>189</v>
      </c>
      <c r="G114" t="s">
        <v>190</v>
      </c>
    </row>
    <row r="115" spans="6:7">
      <c r="F115" t="s">
        <v>191</v>
      </c>
      <c r="G115" t="s">
        <v>192</v>
      </c>
    </row>
    <row r="116" spans="6:7">
      <c r="F116" t="s">
        <v>193</v>
      </c>
      <c r="G116" t="s">
        <v>194</v>
      </c>
    </row>
    <row r="117" spans="6:7">
      <c r="F117" t="s">
        <v>195</v>
      </c>
      <c r="G117" t="s">
        <v>196</v>
      </c>
    </row>
    <row r="118" spans="6:7">
      <c r="F118" t="s">
        <v>197</v>
      </c>
      <c r="G118" t="s">
        <v>198</v>
      </c>
    </row>
    <row r="119" spans="6:7">
      <c r="F119" t="s">
        <v>199</v>
      </c>
      <c r="G119" t="s">
        <v>200</v>
      </c>
    </row>
    <row r="120" spans="6:7">
      <c r="F120" t="s">
        <v>201</v>
      </c>
      <c r="G120" t="s">
        <v>202</v>
      </c>
    </row>
    <row r="121" spans="6:7">
      <c r="F121" t="s">
        <v>203</v>
      </c>
      <c r="G121" t="s">
        <v>204</v>
      </c>
    </row>
    <row r="122" spans="6:7">
      <c r="F122" t="s">
        <v>205</v>
      </c>
      <c r="G122" t="s">
        <v>206</v>
      </c>
    </row>
    <row r="123" spans="6:7">
      <c r="F123" t="s">
        <v>207</v>
      </c>
      <c r="G123" t="s">
        <v>208</v>
      </c>
    </row>
    <row r="124" spans="6:7">
      <c r="F124" t="s">
        <v>209</v>
      </c>
      <c r="G124" t="s">
        <v>210</v>
      </c>
    </row>
    <row r="125" spans="6:7">
      <c r="F125" t="s">
        <v>211</v>
      </c>
      <c r="G125" t="s">
        <v>212</v>
      </c>
    </row>
    <row r="126" spans="6:7">
      <c r="F126" t="s">
        <v>213</v>
      </c>
      <c r="G126" t="s">
        <v>214</v>
      </c>
    </row>
    <row r="127" spans="6:7">
      <c r="F127" t="s">
        <v>215</v>
      </c>
      <c r="G127" t="s">
        <v>216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Лист25"/>
  <dimension ref="A2:DT29"/>
  <sheetViews>
    <sheetView workbookViewId="0">
      <selection activeCell="DE5" sqref="DE5:DT20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7" max="27" width="12.140625" customWidth="1"/>
    <col min="28" max="28" width="6.7109375" hidden="1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hidden="1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4" max="54" width="9.140625" hidden="1" customWidth="1"/>
    <col min="55" max="55" width="6.7109375" hidden="1" customWidth="1"/>
    <col min="56" max="56" width="9.140625" hidden="1" customWidth="1"/>
    <col min="57" max="57" width="7.85546875" hidden="1" customWidth="1"/>
    <col min="58" max="58" width="11.140625" hidden="1" customWidth="1"/>
    <col min="59" max="73" width="3.140625" hidden="1" customWidth="1"/>
    <col min="74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  <col min="81" max="81" width="9.140625" hidden="1" customWidth="1"/>
    <col min="82" max="82" width="7.42578125" hidden="1" customWidth="1"/>
    <col min="83" max="84" width="9.140625" hidden="1" customWidth="1"/>
    <col min="85" max="85" width="5.140625" hidden="1" customWidth="1"/>
    <col min="86" max="86" width="9.140625" hidden="1" customWidth="1"/>
    <col min="87" max="87" width="5.85546875" hidden="1" customWidth="1"/>
    <col min="88" max="90" width="9.140625" hidden="1" customWidth="1"/>
    <col min="91" max="91" width="21.42578125" hidden="1" customWidth="1"/>
    <col min="92" max="107" width="3" hidden="1" customWidth="1"/>
    <col min="108" max="108" width="0" hidden="1" customWidth="1"/>
    <col min="109" max="124" width="3" customWidth="1"/>
  </cols>
  <sheetData>
    <row r="2" spans="1:124">
      <c r="A2" t="s">
        <v>17</v>
      </c>
      <c r="I2" t="s">
        <v>20</v>
      </c>
      <c r="J2" t="s">
        <v>13</v>
      </c>
      <c r="DH2" t="s">
        <v>19</v>
      </c>
    </row>
    <row r="3" spans="1:124">
      <c r="A3" t="s">
        <v>14</v>
      </c>
      <c r="I3" t="s">
        <v>25</v>
      </c>
      <c r="J3" t="s">
        <v>16</v>
      </c>
      <c r="CE3" s="1" t="str">
        <f>TRIM(CC4)</f>
        <v>0x09, 0xff, 0x80, 0xff, 0x80, 0xe3, 0x80, 0xe3, 0x80, 0xe3, 0x80, 0xe3, 0x80, 0xe3, 0x80, 0xe3, 0x80, 0xe3, 0x80, 0xe3, 0x80, 0xe3, 0x80, 0xe3, 0x80, 0xe3, 0x80, 0xe3, 0x80, 0xff, 0x80, 0xff, 0x80,</v>
      </c>
      <c r="CN3" t="s">
        <v>12</v>
      </c>
      <c r="DE3" t="s">
        <v>24</v>
      </c>
    </row>
    <row r="4" spans="1:124">
      <c r="A4" s="3" t="s">
        <v>8</v>
      </c>
      <c r="Z4" t="s">
        <v>5</v>
      </c>
      <c r="AB4" s="6"/>
      <c r="BC4" s="6"/>
      <c r="CC4" t="str">
        <f>$AA$25</f>
        <v>0x09, 0xff, 0x80, 0xff, 0x80, 0xe3, 0x80, 0xe3, 0x80, 0xe3, 0x80, 0xe3, 0x80, 0xe3, 0x80, 0xe3, 0x80, 0xe3, 0x80, 0xe3, 0x80, 0xe3, 0x80, 0xe3, 0x80, 0xe3, 0x80, 0xe3, 0x80, 0xff, 0x80, 0xff, 0x80,</v>
      </c>
      <c r="CD4" s="5"/>
      <c r="CE4" s="5"/>
      <c r="CF4" s="5"/>
      <c r="CG4" s="5"/>
      <c r="CN4">
        <v>1</v>
      </c>
      <c r="CO4">
        <v>2</v>
      </c>
      <c r="CP4">
        <v>3</v>
      </c>
      <c r="CQ4">
        <v>4</v>
      </c>
      <c r="CR4">
        <v>5</v>
      </c>
      <c r="CS4">
        <v>6</v>
      </c>
      <c r="CT4">
        <v>7</v>
      </c>
      <c r="CU4">
        <v>8</v>
      </c>
      <c r="CV4">
        <v>9</v>
      </c>
      <c r="CW4">
        <v>10</v>
      </c>
      <c r="CX4">
        <v>11</v>
      </c>
      <c r="CY4">
        <v>12</v>
      </c>
      <c r="CZ4">
        <v>13</v>
      </c>
      <c r="DA4">
        <v>14</v>
      </c>
      <c r="DB4">
        <v>15</v>
      </c>
      <c r="DC4">
        <v>16</v>
      </c>
    </row>
    <row r="5" spans="1:124">
      <c r="A5" s="3">
        <v>3</v>
      </c>
      <c r="B5" t="str">
        <f>Z5&amp;Y5&amp;BIN2HEX(D5,2)&amp;X5</f>
        <v xml:space="preserve"> 0xFF,</v>
      </c>
      <c r="C5" t="str">
        <f>Z5&amp;BIN2DEC(D5)&amp;X5</f>
        <v>255,</v>
      </c>
      <c r="D5" t="str">
        <f>E5&amp;F5&amp;G5&amp;H5&amp;I5&amp;J5&amp;K5&amp;L5</f>
        <v>11111111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10000000</v>
      </c>
      <c r="V5" t="str">
        <f>Z5&amp;BIN2DEC(U5)&amp;X5</f>
        <v>128,</v>
      </c>
      <c r="W5" t="str">
        <f>Z5&amp;Y5&amp;BIN2HEX(U5,2)&amp;X5</f>
        <v xml:space="preserve"> 0x80,</v>
      </c>
      <c r="X5" t="s">
        <v>0</v>
      </c>
      <c r="Y5" t="s">
        <v>1</v>
      </c>
      <c r="AB5" s="6"/>
      <c r="AI5">
        <v>1</v>
      </c>
      <c r="AJ5">
        <v>0</v>
      </c>
      <c r="BC5" s="6"/>
      <c r="CD5" s="5">
        <v>9</v>
      </c>
      <c r="CE5" s="5" t="str">
        <f>MID(CI5,CD5,2)</f>
        <v>ff</v>
      </c>
      <c r="CF5" s="5" t="str">
        <f>MID(CI5,CG5,2)</f>
        <v>80</v>
      </c>
      <c r="CG5" s="5">
        <v>15</v>
      </c>
      <c r="CI5" t="str">
        <f>CE3</f>
        <v>0x09, 0xff, 0x80, 0xff, 0x80, 0xe3, 0x80, 0xe3, 0x80, 0xe3, 0x80, 0xe3, 0x80, 0xe3, 0x80, 0xe3, 0x80, 0xe3, 0x80, 0xe3, 0x80, 0xe3, 0x80, 0xe3, 0x80, 0xe3, 0x80, 0xe3, 0x80, 0xff, 0x80, 0xff, 0x80,</v>
      </c>
      <c r="CJ5" t="s">
        <v>11</v>
      </c>
      <c r="CK5" t="str">
        <f>HEX2BIN(CE5,8)</f>
        <v>11111111</v>
      </c>
      <c r="CL5" t="str">
        <f>HEX2BIN(CF5,8)</f>
        <v>10000000</v>
      </c>
      <c r="CM5" t="str">
        <f>CK5&amp;CL5</f>
        <v>1111111110000000</v>
      </c>
      <c r="CN5" t="str">
        <f>MID(CM5,1,1)</f>
        <v>1</v>
      </c>
      <c r="CO5" t="str">
        <f>MID(CM5,2,1)</f>
        <v>1</v>
      </c>
      <c r="CP5" t="str">
        <f>MID(CM5,3,1)</f>
        <v>1</v>
      </c>
      <c r="CQ5" t="str">
        <f>MID(CM5,4,1)</f>
        <v>1</v>
      </c>
      <c r="CR5" t="str">
        <f>MID(CM5,5,1)</f>
        <v>1</v>
      </c>
      <c r="CS5" t="str">
        <f>MID(CM5,6,1)</f>
        <v>1</v>
      </c>
      <c r="CT5" t="str">
        <f>MID(CM5,7,1)</f>
        <v>1</v>
      </c>
      <c r="CU5" t="str">
        <f>MID(CM5,8,1)</f>
        <v>1</v>
      </c>
      <c r="CV5" t="str">
        <f>MID(CM5,9,1)</f>
        <v>1</v>
      </c>
      <c r="CW5" t="str">
        <f>MID(CM5,10,1)</f>
        <v>0</v>
      </c>
      <c r="CX5" t="str">
        <f>MID(CM5,11,1)</f>
        <v>0</v>
      </c>
      <c r="CY5" t="str">
        <f>MID(CM5,12,1)</f>
        <v>0</v>
      </c>
      <c r="CZ5" t="str">
        <f>MID(CM5,13,1)</f>
        <v>0</v>
      </c>
      <c r="DA5" t="str">
        <f>MID(CM5,14,1)</f>
        <v>0</v>
      </c>
      <c r="DB5" t="str">
        <f>MID(CM5,15,1)</f>
        <v>0</v>
      </c>
      <c r="DC5" t="str">
        <f>MID(CM5,16,1)</f>
        <v>0</v>
      </c>
      <c r="DE5">
        <f>VALUE(CN5)</f>
        <v>1</v>
      </c>
      <c r="DF5">
        <f t="shared" ref="DF5:DT5" si="0">VALUE(CO5)</f>
        <v>1</v>
      </c>
      <c r="DG5">
        <f t="shared" si="0"/>
        <v>1</v>
      </c>
      <c r="DH5">
        <f t="shared" si="0"/>
        <v>1</v>
      </c>
      <c r="DI5">
        <f t="shared" si="0"/>
        <v>1</v>
      </c>
      <c r="DJ5">
        <f t="shared" si="0"/>
        <v>1</v>
      </c>
      <c r="DK5">
        <f t="shared" si="0"/>
        <v>1</v>
      </c>
      <c r="DL5">
        <f t="shared" si="0"/>
        <v>1</v>
      </c>
      <c r="DM5">
        <f t="shared" si="0"/>
        <v>1</v>
      </c>
      <c r="DN5">
        <f t="shared" si="0"/>
        <v>0</v>
      </c>
      <c r="DO5">
        <f t="shared" si="0"/>
        <v>0</v>
      </c>
      <c r="DP5">
        <f t="shared" si="0"/>
        <v>0</v>
      </c>
      <c r="DQ5">
        <f t="shared" si="0"/>
        <v>0</v>
      </c>
      <c r="DR5">
        <f t="shared" si="0"/>
        <v>0</v>
      </c>
      <c r="DS5">
        <f t="shared" si="0"/>
        <v>0</v>
      </c>
      <c r="DT5">
        <f t="shared" si="0"/>
        <v>0</v>
      </c>
    </row>
    <row r="6" spans="1:124">
      <c r="A6" t="s">
        <v>15</v>
      </c>
      <c r="B6" t="str">
        <f t="shared" ref="B6:B20" si="1">Z6&amp;Y6&amp;BIN2HEX(D6,2)&amp;X6</f>
        <v xml:space="preserve"> 0xFF,</v>
      </c>
      <c r="C6" t="str">
        <f t="shared" ref="C6:C20" si="2">Z6&amp;BIN2DEC(D6)&amp;X6</f>
        <v>255,</v>
      </c>
      <c r="D6" t="str">
        <f t="shared" ref="D6:D20" si="3">E6&amp;F6&amp;G6&amp;H6&amp;I6&amp;J6&amp;K6&amp;L6</f>
        <v>11111111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4">M6&amp;N6&amp;O6&amp;P6&amp;Q6&amp;R6&amp;S6&amp;T6</f>
        <v>10000000</v>
      </c>
      <c r="V6" t="str">
        <f t="shared" ref="V6:V20" si="5">Z6&amp;BIN2DEC(U6)&amp;X6</f>
        <v>128,</v>
      </c>
      <c r="W6" t="str">
        <f t="shared" ref="W6:W20" si="6">Z6&amp;Y6&amp;BIN2HEX(U6,2)&amp;X6</f>
        <v xml:space="preserve"> 0x80,</v>
      </c>
      <c r="X6" t="s">
        <v>0</v>
      </c>
      <c r="Y6" t="s">
        <v>1</v>
      </c>
      <c r="AI6">
        <v>0</v>
      </c>
      <c r="AJ6">
        <v>1</v>
      </c>
      <c r="CD6" s="5">
        <v>21</v>
      </c>
      <c r="CE6" s="5" t="str">
        <f>MID(CI6,CD6,2)</f>
        <v>ff</v>
      </c>
      <c r="CF6" s="5" t="str">
        <f t="shared" ref="CF6:CF20" si="7">MID(CI6,CG6,2)</f>
        <v>80</v>
      </c>
      <c r="CG6" s="5">
        <v>27</v>
      </c>
      <c r="CI6" t="str">
        <f>CE3</f>
        <v>0x09, 0xff, 0x80, 0xff, 0x80, 0xe3, 0x80, 0xe3, 0x80, 0xe3, 0x80, 0xe3, 0x80, 0xe3, 0x80, 0xe3, 0x80, 0xe3, 0x80, 0xe3, 0x80, 0xe3, 0x80, 0xe3, 0x80, 0xe3, 0x80, 0xe3, 0x80, 0xff, 0x80, 0xff, 0x80,</v>
      </c>
      <c r="CJ6" t="s">
        <v>11</v>
      </c>
      <c r="CK6" t="str">
        <f>HEX2BIN(CE6,8)</f>
        <v>11111111</v>
      </c>
      <c r="CL6" t="str">
        <f>HEX2BIN(CF6,8)</f>
        <v>10000000</v>
      </c>
      <c r="CM6" t="str">
        <f t="shared" ref="CM6:CM20" si="8">CK6&amp;CL6</f>
        <v>1111111110000000</v>
      </c>
      <c r="CN6" t="str">
        <f t="shared" ref="CN6:CN20" si="9">MID(CM6,1,1)</f>
        <v>1</v>
      </c>
      <c r="CO6" t="str">
        <f t="shared" ref="CO6:CO20" si="10">MID(CM6,2,1)</f>
        <v>1</v>
      </c>
      <c r="CP6" t="str">
        <f t="shared" ref="CP6:CP20" si="11">MID(CM6,3,1)</f>
        <v>1</v>
      </c>
      <c r="CQ6" t="str">
        <f t="shared" ref="CQ6:CQ20" si="12">MID(CM6,4,1)</f>
        <v>1</v>
      </c>
      <c r="CR6" t="str">
        <f t="shared" ref="CR6:CR20" si="13">MID(CM6,5,1)</f>
        <v>1</v>
      </c>
      <c r="CS6" t="str">
        <f t="shared" ref="CS6:CS20" si="14">MID(CM6,6,1)</f>
        <v>1</v>
      </c>
      <c r="CT6" t="str">
        <f t="shared" ref="CT6:CT20" si="15">MID(CM6,7,1)</f>
        <v>1</v>
      </c>
      <c r="CU6" t="str">
        <f t="shared" ref="CU6:CU20" si="16">MID(CM6,8,1)</f>
        <v>1</v>
      </c>
      <c r="CV6" t="str">
        <f t="shared" ref="CV6:CV20" si="17">MID(CM6,9,1)</f>
        <v>1</v>
      </c>
      <c r="CW6" t="str">
        <f t="shared" ref="CW6:CW20" si="18">MID(CM6,10,1)</f>
        <v>0</v>
      </c>
      <c r="CX6" t="str">
        <f t="shared" ref="CX6:CX20" si="19">MID(CM6,11,1)</f>
        <v>0</v>
      </c>
      <c r="CY6" t="str">
        <f t="shared" ref="CY6:CY20" si="20">MID(CM6,12,1)</f>
        <v>0</v>
      </c>
      <c r="CZ6" t="str">
        <f t="shared" ref="CZ6:CZ20" si="21">MID(CM6,13,1)</f>
        <v>0</v>
      </c>
      <c r="DA6" t="str">
        <f t="shared" ref="DA6:DA20" si="22">MID(CM6,14,1)</f>
        <v>0</v>
      </c>
      <c r="DB6" t="str">
        <f t="shared" ref="DB6:DB20" si="23">MID(CM6,15,1)</f>
        <v>0</v>
      </c>
      <c r="DC6" t="str">
        <f t="shared" ref="DC6:DC22" si="24">MID(CM6,16,1)</f>
        <v>0</v>
      </c>
      <c r="DE6">
        <f t="shared" ref="DE6:DE20" si="25">VALUE(CN6)</f>
        <v>1</v>
      </c>
      <c r="DF6">
        <f t="shared" ref="DF6:DF20" si="26">VALUE(CO6)</f>
        <v>1</v>
      </c>
      <c r="DG6">
        <f t="shared" ref="DG6:DG20" si="27">VALUE(CP6)</f>
        <v>1</v>
      </c>
      <c r="DH6">
        <f t="shared" ref="DH6:DH20" si="28">VALUE(CQ6)</f>
        <v>1</v>
      </c>
      <c r="DI6">
        <f t="shared" ref="DI6:DI20" si="29">VALUE(CR6)</f>
        <v>1</v>
      </c>
      <c r="DJ6">
        <f t="shared" ref="DJ6:DJ20" si="30">VALUE(CS6)</f>
        <v>1</v>
      </c>
      <c r="DK6">
        <f t="shared" ref="DK6:DK20" si="31">VALUE(CT6)</f>
        <v>1</v>
      </c>
      <c r="DL6">
        <f t="shared" ref="DL6:DL20" si="32">VALUE(CU6)</f>
        <v>1</v>
      </c>
      <c r="DM6">
        <f t="shared" ref="DM6:DM20" si="33">VALUE(CV6)</f>
        <v>1</v>
      </c>
      <c r="DN6">
        <f t="shared" ref="DN6:DN20" si="34">VALUE(CW6)</f>
        <v>0</v>
      </c>
      <c r="DO6">
        <f t="shared" ref="DO6:DO20" si="35">VALUE(CX6)</f>
        <v>0</v>
      </c>
      <c r="DP6">
        <f t="shared" ref="DP6:DP20" si="36">VALUE(CY6)</f>
        <v>0</v>
      </c>
      <c r="DQ6">
        <f t="shared" ref="DQ6:DQ20" si="37">VALUE(CZ6)</f>
        <v>0</v>
      </c>
      <c r="DR6">
        <f t="shared" ref="DR6:DR20" si="38">VALUE(DA6)</f>
        <v>0</v>
      </c>
      <c r="DS6">
        <f t="shared" ref="DS6:DS20" si="39">VALUE(DB6)</f>
        <v>0</v>
      </c>
      <c r="DT6">
        <f t="shared" ref="DT6:DT20" si="40">VALUE(DC6)</f>
        <v>0</v>
      </c>
    </row>
    <row r="7" spans="1:124">
      <c r="A7" t="s">
        <v>18</v>
      </c>
      <c r="B7" t="str">
        <f t="shared" si="1"/>
        <v xml:space="preserve"> 0xC1,</v>
      </c>
      <c r="C7" t="str">
        <f t="shared" si="2"/>
        <v>193,</v>
      </c>
      <c r="D7" t="str">
        <f t="shared" si="3"/>
        <v>11000001</v>
      </c>
      <c r="E7">
        <v>1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4"/>
        <v>10000000</v>
      </c>
      <c r="V7" t="str">
        <f t="shared" si="5"/>
        <v>128,</v>
      </c>
      <c r="W7" t="str">
        <f t="shared" si="6"/>
        <v xml:space="preserve"> 0x80,</v>
      </c>
      <c r="X7" t="s">
        <v>0</v>
      </c>
      <c r="Y7" t="s">
        <v>1</v>
      </c>
      <c r="AI7">
        <v>0</v>
      </c>
      <c r="AJ7">
        <v>0</v>
      </c>
      <c r="AK7">
        <v>0</v>
      </c>
      <c r="AL7">
        <v>0</v>
      </c>
      <c r="CD7" s="5">
        <v>33</v>
      </c>
      <c r="CE7" s="5" t="str">
        <f t="shared" ref="CE7:CE20" si="41">MID(CI7,CD7,2)</f>
        <v>e3</v>
      </c>
      <c r="CF7" s="5" t="str">
        <f t="shared" si="7"/>
        <v>80</v>
      </c>
      <c r="CG7" s="5">
        <v>39</v>
      </c>
      <c r="CI7" t="str">
        <f>CE3</f>
        <v>0x09, 0xff, 0x80, 0xff, 0x80, 0xe3, 0x80, 0xe3, 0x80, 0xe3, 0x80, 0xe3, 0x80, 0xe3, 0x80, 0xe3, 0x80, 0xe3, 0x80, 0xe3, 0x80, 0xe3, 0x80, 0xe3, 0x80, 0xe3, 0x80, 0xe3, 0x80, 0xff, 0x80, 0xff, 0x80,</v>
      </c>
      <c r="CJ7" t="s">
        <v>11</v>
      </c>
      <c r="CK7" t="str">
        <f t="shared" ref="CK7:CK22" si="42">HEX2BIN(CE7,8)</f>
        <v>11100011</v>
      </c>
      <c r="CL7" t="str">
        <f t="shared" ref="CL7:CL22" si="43">HEX2BIN(CF7,8)</f>
        <v>10000000</v>
      </c>
      <c r="CM7" t="str">
        <f t="shared" si="8"/>
        <v>1110001110000000</v>
      </c>
      <c r="CN7" t="str">
        <f t="shared" si="9"/>
        <v>1</v>
      </c>
      <c r="CO7" t="str">
        <f t="shared" si="10"/>
        <v>1</v>
      </c>
      <c r="CP7" t="str">
        <f t="shared" si="11"/>
        <v>1</v>
      </c>
      <c r="CQ7" t="str">
        <f t="shared" si="12"/>
        <v>0</v>
      </c>
      <c r="CR7" t="str">
        <f t="shared" si="13"/>
        <v>0</v>
      </c>
      <c r="CS7" t="str">
        <f t="shared" si="14"/>
        <v>0</v>
      </c>
      <c r="CT7" t="str">
        <f t="shared" si="15"/>
        <v>1</v>
      </c>
      <c r="CU7" t="str">
        <f t="shared" si="16"/>
        <v>1</v>
      </c>
      <c r="CV7" t="str">
        <f t="shared" si="17"/>
        <v>1</v>
      </c>
      <c r="CW7" t="str">
        <f t="shared" si="18"/>
        <v>0</v>
      </c>
      <c r="CX7" t="str">
        <f t="shared" si="19"/>
        <v>0</v>
      </c>
      <c r="CY7" t="str">
        <f t="shared" si="20"/>
        <v>0</v>
      </c>
      <c r="CZ7" t="str">
        <f t="shared" si="21"/>
        <v>0</v>
      </c>
      <c r="DA7" t="str">
        <f t="shared" si="22"/>
        <v>0</v>
      </c>
      <c r="DB7" t="str">
        <f t="shared" si="23"/>
        <v>0</v>
      </c>
      <c r="DC7" t="str">
        <f t="shared" si="24"/>
        <v>0</v>
      </c>
      <c r="DE7">
        <f t="shared" si="25"/>
        <v>1</v>
      </c>
      <c r="DF7">
        <f t="shared" si="26"/>
        <v>1</v>
      </c>
      <c r="DG7">
        <f t="shared" si="27"/>
        <v>1</v>
      </c>
      <c r="DH7">
        <f t="shared" si="28"/>
        <v>0</v>
      </c>
      <c r="DI7">
        <f t="shared" si="29"/>
        <v>0</v>
      </c>
      <c r="DJ7">
        <f t="shared" si="30"/>
        <v>0</v>
      </c>
      <c r="DK7">
        <f t="shared" si="31"/>
        <v>1</v>
      </c>
      <c r="DL7">
        <f t="shared" si="32"/>
        <v>1</v>
      </c>
      <c r="DM7">
        <f t="shared" si="33"/>
        <v>1</v>
      </c>
      <c r="DN7">
        <f t="shared" si="34"/>
        <v>0</v>
      </c>
      <c r="DO7">
        <f t="shared" si="35"/>
        <v>0</v>
      </c>
      <c r="DP7">
        <f t="shared" si="36"/>
        <v>0</v>
      </c>
      <c r="DQ7">
        <f t="shared" si="37"/>
        <v>0</v>
      </c>
      <c r="DR7">
        <f t="shared" si="38"/>
        <v>0</v>
      </c>
      <c r="DS7">
        <f t="shared" si="39"/>
        <v>0</v>
      </c>
      <c r="DT7">
        <f t="shared" si="40"/>
        <v>0</v>
      </c>
    </row>
    <row r="8" spans="1:124">
      <c r="B8" t="str">
        <f t="shared" si="1"/>
        <v xml:space="preserve"> 0x03,</v>
      </c>
      <c r="C8" t="str">
        <f t="shared" si="2"/>
        <v>3,</v>
      </c>
      <c r="D8" t="str">
        <f t="shared" si="3"/>
        <v>00000011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4"/>
        <v>00000000</v>
      </c>
      <c r="V8" t="str">
        <f t="shared" si="5"/>
        <v>0,</v>
      </c>
      <c r="W8" t="str">
        <f t="shared" si="6"/>
        <v xml:space="preserve"> 0x00,</v>
      </c>
      <c r="X8" t="s">
        <v>0</v>
      </c>
      <c r="Y8" t="s">
        <v>1</v>
      </c>
      <c r="AN8">
        <v>0</v>
      </c>
      <c r="CD8" s="5">
        <v>45</v>
      </c>
      <c r="CE8" s="5" t="str">
        <f t="shared" si="41"/>
        <v>e3</v>
      </c>
      <c r="CF8" s="5" t="str">
        <f t="shared" si="7"/>
        <v>80</v>
      </c>
      <c r="CG8" s="5">
        <v>51</v>
      </c>
      <c r="CI8" t="str">
        <f>CE3</f>
        <v>0x09, 0xff, 0x80, 0xff, 0x80, 0xe3, 0x80, 0xe3, 0x80, 0xe3, 0x80, 0xe3, 0x80, 0xe3, 0x80, 0xe3, 0x80, 0xe3, 0x80, 0xe3, 0x80, 0xe3, 0x80, 0xe3, 0x80, 0xe3, 0x80, 0xe3, 0x80, 0xff, 0x80, 0xff, 0x80,</v>
      </c>
      <c r="CJ8" t="s">
        <v>11</v>
      </c>
      <c r="CK8" t="str">
        <f t="shared" si="42"/>
        <v>11100011</v>
      </c>
      <c r="CL8" t="str">
        <f t="shared" si="43"/>
        <v>10000000</v>
      </c>
      <c r="CM8" t="str">
        <f t="shared" si="8"/>
        <v>1110001110000000</v>
      </c>
      <c r="CN8" t="str">
        <f t="shared" si="9"/>
        <v>1</v>
      </c>
      <c r="CO8" t="str">
        <f t="shared" si="10"/>
        <v>1</v>
      </c>
      <c r="CP8" t="str">
        <f t="shared" si="11"/>
        <v>1</v>
      </c>
      <c r="CQ8" t="str">
        <f t="shared" si="12"/>
        <v>0</v>
      </c>
      <c r="CR8" t="str">
        <f t="shared" si="13"/>
        <v>0</v>
      </c>
      <c r="CS8" t="str">
        <f t="shared" si="14"/>
        <v>0</v>
      </c>
      <c r="CT8" t="str">
        <f t="shared" si="15"/>
        <v>1</v>
      </c>
      <c r="CU8" t="str">
        <f t="shared" si="16"/>
        <v>1</v>
      </c>
      <c r="CV8" t="str">
        <f t="shared" si="17"/>
        <v>1</v>
      </c>
      <c r="CW8" t="str">
        <f t="shared" si="18"/>
        <v>0</v>
      </c>
      <c r="CX8" t="str">
        <f t="shared" si="19"/>
        <v>0</v>
      </c>
      <c r="CY8" t="str">
        <f t="shared" si="20"/>
        <v>0</v>
      </c>
      <c r="CZ8" t="str">
        <f t="shared" si="21"/>
        <v>0</v>
      </c>
      <c r="DA8" t="str">
        <f t="shared" si="22"/>
        <v>0</v>
      </c>
      <c r="DB8" t="str">
        <f t="shared" si="23"/>
        <v>0</v>
      </c>
      <c r="DC8" t="str">
        <f t="shared" si="24"/>
        <v>0</v>
      </c>
      <c r="DE8">
        <f t="shared" si="25"/>
        <v>1</v>
      </c>
      <c r="DF8">
        <f t="shared" si="26"/>
        <v>1</v>
      </c>
      <c r="DG8">
        <f t="shared" si="27"/>
        <v>1</v>
      </c>
      <c r="DH8">
        <f t="shared" si="28"/>
        <v>0</v>
      </c>
      <c r="DI8">
        <f t="shared" si="29"/>
        <v>0</v>
      </c>
      <c r="DJ8">
        <f t="shared" si="30"/>
        <v>0</v>
      </c>
      <c r="DK8">
        <f t="shared" si="31"/>
        <v>1</v>
      </c>
      <c r="DL8">
        <f t="shared" si="32"/>
        <v>1</v>
      </c>
      <c r="DM8">
        <f t="shared" si="33"/>
        <v>1</v>
      </c>
      <c r="DN8">
        <f t="shared" si="34"/>
        <v>0</v>
      </c>
      <c r="DO8">
        <f t="shared" si="35"/>
        <v>0</v>
      </c>
      <c r="DP8">
        <f t="shared" si="36"/>
        <v>0</v>
      </c>
      <c r="DQ8">
        <f t="shared" si="37"/>
        <v>0</v>
      </c>
      <c r="DR8">
        <f t="shared" si="38"/>
        <v>0</v>
      </c>
      <c r="DS8">
        <f t="shared" si="39"/>
        <v>0</v>
      </c>
      <c r="DT8">
        <f t="shared" si="40"/>
        <v>0</v>
      </c>
    </row>
    <row r="9" spans="1:124">
      <c r="B9" t="str">
        <f t="shared" si="1"/>
        <v xml:space="preserve"> 0x06,</v>
      </c>
      <c r="C9" t="str">
        <f t="shared" si="2"/>
        <v>6,</v>
      </c>
      <c r="D9" t="str">
        <f t="shared" si="3"/>
        <v>00000110</v>
      </c>
      <c r="E9">
        <v>0</v>
      </c>
      <c r="F9">
        <v>0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4"/>
        <v>00000000</v>
      </c>
      <c r="V9" t="str">
        <f t="shared" si="5"/>
        <v>0,</v>
      </c>
      <c r="W9" t="str">
        <f t="shared" si="6"/>
        <v xml:space="preserve"> 0x00,</v>
      </c>
      <c r="X9" t="s">
        <v>0</v>
      </c>
      <c r="Y9" t="s">
        <v>1</v>
      </c>
      <c r="CD9" s="5">
        <v>57</v>
      </c>
      <c r="CE9" s="5" t="str">
        <f t="shared" si="41"/>
        <v>e3</v>
      </c>
      <c r="CF9" s="5" t="str">
        <f t="shared" si="7"/>
        <v>80</v>
      </c>
      <c r="CG9" s="5">
        <v>63</v>
      </c>
      <c r="CI9" t="str">
        <f>CE3</f>
        <v>0x09, 0xff, 0x80, 0xff, 0x80, 0xe3, 0x80, 0xe3, 0x80, 0xe3, 0x80, 0xe3, 0x80, 0xe3, 0x80, 0xe3, 0x80, 0xe3, 0x80, 0xe3, 0x80, 0xe3, 0x80, 0xe3, 0x80, 0xe3, 0x80, 0xe3, 0x80, 0xff, 0x80, 0xff, 0x80,</v>
      </c>
      <c r="CJ9" t="s">
        <v>11</v>
      </c>
      <c r="CK9" t="str">
        <f t="shared" si="42"/>
        <v>11100011</v>
      </c>
      <c r="CL9" t="str">
        <f t="shared" si="43"/>
        <v>10000000</v>
      </c>
      <c r="CM9" t="str">
        <f t="shared" si="8"/>
        <v>1110001110000000</v>
      </c>
      <c r="CN9" t="str">
        <f t="shared" si="9"/>
        <v>1</v>
      </c>
      <c r="CO9" t="str">
        <f t="shared" si="10"/>
        <v>1</v>
      </c>
      <c r="CP9" t="str">
        <f t="shared" si="11"/>
        <v>1</v>
      </c>
      <c r="CQ9" t="str">
        <f t="shared" si="12"/>
        <v>0</v>
      </c>
      <c r="CR9" t="str">
        <f t="shared" si="13"/>
        <v>0</v>
      </c>
      <c r="CS9" t="str">
        <f t="shared" si="14"/>
        <v>0</v>
      </c>
      <c r="CT9" t="str">
        <f t="shared" si="15"/>
        <v>1</v>
      </c>
      <c r="CU9" t="str">
        <f t="shared" si="16"/>
        <v>1</v>
      </c>
      <c r="CV9" t="str">
        <f t="shared" si="17"/>
        <v>1</v>
      </c>
      <c r="CW9" t="str">
        <f t="shared" si="18"/>
        <v>0</v>
      </c>
      <c r="CX9" t="str">
        <f t="shared" si="19"/>
        <v>0</v>
      </c>
      <c r="CY9" t="str">
        <f t="shared" si="20"/>
        <v>0</v>
      </c>
      <c r="CZ9" t="str">
        <f t="shared" si="21"/>
        <v>0</v>
      </c>
      <c r="DA9" t="str">
        <f t="shared" si="22"/>
        <v>0</v>
      </c>
      <c r="DB9" t="str">
        <f t="shared" si="23"/>
        <v>0</v>
      </c>
      <c r="DC9" t="str">
        <f t="shared" si="24"/>
        <v>0</v>
      </c>
      <c r="DE9">
        <f t="shared" si="25"/>
        <v>1</v>
      </c>
      <c r="DF9">
        <f t="shared" si="26"/>
        <v>1</v>
      </c>
      <c r="DG9">
        <f t="shared" si="27"/>
        <v>1</v>
      </c>
      <c r="DH9">
        <f t="shared" si="28"/>
        <v>0</v>
      </c>
      <c r="DI9">
        <f t="shared" si="29"/>
        <v>0</v>
      </c>
      <c r="DJ9">
        <f t="shared" si="30"/>
        <v>0</v>
      </c>
      <c r="DK9">
        <f t="shared" si="31"/>
        <v>1</v>
      </c>
      <c r="DL9">
        <f t="shared" si="32"/>
        <v>1</v>
      </c>
      <c r="DM9">
        <f t="shared" si="33"/>
        <v>1</v>
      </c>
      <c r="DN9">
        <f t="shared" si="34"/>
        <v>0</v>
      </c>
      <c r="DO9">
        <f t="shared" si="35"/>
        <v>0</v>
      </c>
      <c r="DP9">
        <f t="shared" si="36"/>
        <v>0</v>
      </c>
      <c r="DQ9">
        <f t="shared" si="37"/>
        <v>0</v>
      </c>
      <c r="DR9">
        <f t="shared" si="38"/>
        <v>0</v>
      </c>
      <c r="DS9">
        <f t="shared" si="39"/>
        <v>0</v>
      </c>
      <c r="DT9">
        <f t="shared" si="40"/>
        <v>0</v>
      </c>
    </row>
    <row r="10" spans="1:124">
      <c r="B10" t="str">
        <f t="shared" si="1"/>
        <v xml:space="preserve"> 0x0C,</v>
      </c>
      <c r="C10" t="str">
        <f t="shared" si="2"/>
        <v>12,</v>
      </c>
      <c r="D10" t="str">
        <f t="shared" si="3"/>
        <v>00001100</v>
      </c>
      <c r="E10">
        <v>0</v>
      </c>
      <c r="F10">
        <v>0</v>
      </c>
      <c r="G10">
        <v>0</v>
      </c>
      <c r="H10">
        <v>0</v>
      </c>
      <c r="I10">
        <v>1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4"/>
        <v>00000000</v>
      </c>
      <c r="V10" t="str">
        <f t="shared" si="5"/>
        <v>0,</v>
      </c>
      <c r="W10" t="str">
        <f t="shared" si="6"/>
        <v xml:space="preserve"> 0x00,</v>
      </c>
      <c r="X10" t="s">
        <v>0</v>
      </c>
      <c r="Y10" t="s">
        <v>1</v>
      </c>
      <c r="CD10" s="5">
        <v>69</v>
      </c>
      <c r="CE10" s="5" t="str">
        <f t="shared" si="41"/>
        <v>e3</v>
      </c>
      <c r="CF10" s="5" t="str">
        <f t="shared" si="7"/>
        <v>80</v>
      </c>
      <c r="CG10" s="5">
        <v>75</v>
      </c>
      <c r="CI10" t="str">
        <f>CE3</f>
        <v>0x09, 0xff, 0x80, 0xff, 0x80, 0xe3, 0x80, 0xe3, 0x80, 0xe3, 0x80, 0xe3, 0x80, 0xe3, 0x80, 0xe3, 0x80, 0xe3, 0x80, 0xe3, 0x80, 0xe3, 0x80, 0xe3, 0x80, 0xe3, 0x80, 0xe3, 0x80, 0xff, 0x80, 0xff, 0x80,</v>
      </c>
      <c r="CJ10" t="s">
        <v>11</v>
      </c>
      <c r="CK10" t="str">
        <f t="shared" si="42"/>
        <v>11100011</v>
      </c>
      <c r="CL10" t="str">
        <f t="shared" si="43"/>
        <v>10000000</v>
      </c>
      <c r="CM10" t="str">
        <f t="shared" si="8"/>
        <v>1110001110000000</v>
      </c>
      <c r="CN10" t="str">
        <f t="shared" si="9"/>
        <v>1</v>
      </c>
      <c r="CO10" t="str">
        <f t="shared" si="10"/>
        <v>1</v>
      </c>
      <c r="CP10" t="str">
        <f t="shared" si="11"/>
        <v>1</v>
      </c>
      <c r="CQ10" t="str">
        <f t="shared" si="12"/>
        <v>0</v>
      </c>
      <c r="CR10" t="str">
        <f t="shared" si="13"/>
        <v>0</v>
      </c>
      <c r="CS10" t="str">
        <f t="shared" si="14"/>
        <v>0</v>
      </c>
      <c r="CT10" t="str">
        <f t="shared" si="15"/>
        <v>1</v>
      </c>
      <c r="CU10" t="str">
        <f t="shared" si="16"/>
        <v>1</v>
      </c>
      <c r="CV10" t="str">
        <f t="shared" si="17"/>
        <v>1</v>
      </c>
      <c r="CW10" t="str">
        <f t="shared" si="18"/>
        <v>0</v>
      </c>
      <c r="CX10" t="str">
        <f t="shared" si="19"/>
        <v>0</v>
      </c>
      <c r="CY10" t="str">
        <f t="shared" si="20"/>
        <v>0</v>
      </c>
      <c r="CZ10" t="str">
        <f t="shared" si="21"/>
        <v>0</v>
      </c>
      <c r="DA10" t="str">
        <f t="shared" si="22"/>
        <v>0</v>
      </c>
      <c r="DB10" t="str">
        <f t="shared" si="23"/>
        <v>0</v>
      </c>
      <c r="DC10" t="str">
        <f t="shared" si="24"/>
        <v>0</v>
      </c>
      <c r="DE10">
        <f t="shared" si="25"/>
        <v>1</v>
      </c>
      <c r="DF10">
        <f t="shared" si="26"/>
        <v>1</v>
      </c>
      <c r="DG10">
        <f t="shared" si="27"/>
        <v>1</v>
      </c>
      <c r="DH10">
        <f t="shared" si="28"/>
        <v>0</v>
      </c>
      <c r="DI10">
        <f t="shared" si="29"/>
        <v>0</v>
      </c>
      <c r="DJ10">
        <f t="shared" si="30"/>
        <v>0</v>
      </c>
      <c r="DK10">
        <f t="shared" si="31"/>
        <v>1</v>
      </c>
      <c r="DL10">
        <f t="shared" si="32"/>
        <v>1</v>
      </c>
      <c r="DM10">
        <f t="shared" si="33"/>
        <v>1</v>
      </c>
      <c r="DN10">
        <f t="shared" si="34"/>
        <v>0</v>
      </c>
      <c r="DO10">
        <f t="shared" si="35"/>
        <v>0</v>
      </c>
      <c r="DP10">
        <f t="shared" si="36"/>
        <v>0</v>
      </c>
      <c r="DQ10">
        <f t="shared" si="37"/>
        <v>0</v>
      </c>
      <c r="DR10">
        <f t="shared" si="38"/>
        <v>0</v>
      </c>
      <c r="DS10">
        <f t="shared" si="39"/>
        <v>0</v>
      </c>
      <c r="DT10">
        <f t="shared" si="40"/>
        <v>0</v>
      </c>
    </row>
    <row r="11" spans="1:124">
      <c r="B11" t="str">
        <f t="shared" si="1"/>
        <v xml:space="preserve"> 0x1F,</v>
      </c>
      <c r="C11" t="str">
        <f t="shared" si="2"/>
        <v>31,</v>
      </c>
      <c r="D11" t="str">
        <f t="shared" si="3"/>
        <v>00011111</v>
      </c>
      <c r="E11">
        <v>0</v>
      </c>
      <c r="F11">
        <v>0</v>
      </c>
      <c r="G11">
        <v>0</v>
      </c>
      <c r="H11">
        <v>1</v>
      </c>
      <c r="I11">
        <v>1</v>
      </c>
      <c r="J11">
        <v>1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4"/>
        <v>00000000</v>
      </c>
      <c r="V11" t="str">
        <f t="shared" si="5"/>
        <v>0,</v>
      </c>
      <c r="W11" t="str">
        <f t="shared" si="6"/>
        <v xml:space="preserve"> 0x00,</v>
      </c>
      <c r="X11" t="s">
        <v>0</v>
      </c>
      <c r="Y11" t="s">
        <v>1</v>
      </c>
      <c r="CD11" s="5">
        <v>81</v>
      </c>
      <c r="CE11" s="5" t="str">
        <f t="shared" si="41"/>
        <v>e3</v>
      </c>
      <c r="CF11" s="5" t="str">
        <f t="shared" si="7"/>
        <v>80</v>
      </c>
      <c r="CG11" s="5">
        <v>87</v>
      </c>
      <c r="CI11" t="str">
        <f>CE3</f>
        <v>0x09, 0xff, 0x80, 0xff, 0x80, 0xe3, 0x80, 0xe3, 0x80, 0xe3, 0x80, 0xe3, 0x80, 0xe3, 0x80, 0xe3, 0x80, 0xe3, 0x80, 0xe3, 0x80, 0xe3, 0x80, 0xe3, 0x80, 0xe3, 0x80, 0xe3, 0x80, 0xff, 0x80, 0xff, 0x80,</v>
      </c>
      <c r="CJ11" t="s">
        <v>11</v>
      </c>
      <c r="CK11" t="str">
        <f t="shared" si="42"/>
        <v>11100011</v>
      </c>
      <c r="CL11" t="str">
        <f t="shared" si="43"/>
        <v>10000000</v>
      </c>
      <c r="CM11" t="str">
        <f t="shared" si="8"/>
        <v>1110001110000000</v>
      </c>
      <c r="CN11" t="str">
        <f t="shared" si="9"/>
        <v>1</v>
      </c>
      <c r="CO11" t="str">
        <f t="shared" si="10"/>
        <v>1</v>
      </c>
      <c r="CP11" t="str">
        <f t="shared" si="11"/>
        <v>1</v>
      </c>
      <c r="CQ11" t="str">
        <f t="shared" si="12"/>
        <v>0</v>
      </c>
      <c r="CR11" t="str">
        <f t="shared" si="13"/>
        <v>0</v>
      </c>
      <c r="CS11" t="str">
        <f t="shared" si="14"/>
        <v>0</v>
      </c>
      <c r="CT11" t="str">
        <f t="shared" si="15"/>
        <v>1</v>
      </c>
      <c r="CU11" t="str">
        <f t="shared" si="16"/>
        <v>1</v>
      </c>
      <c r="CV11" t="str">
        <f t="shared" si="17"/>
        <v>1</v>
      </c>
      <c r="CW11" t="str">
        <f t="shared" si="18"/>
        <v>0</v>
      </c>
      <c r="CX11" t="str">
        <f t="shared" si="19"/>
        <v>0</v>
      </c>
      <c r="CY11" t="str">
        <f t="shared" si="20"/>
        <v>0</v>
      </c>
      <c r="CZ11" t="str">
        <f t="shared" si="21"/>
        <v>0</v>
      </c>
      <c r="DA11" t="str">
        <f t="shared" si="22"/>
        <v>0</v>
      </c>
      <c r="DB11" t="str">
        <f t="shared" si="23"/>
        <v>0</v>
      </c>
      <c r="DC11" t="str">
        <f t="shared" si="24"/>
        <v>0</v>
      </c>
      <c r="DE11">
        <f t="shared" si="25"/>
        <v>1</v>
      </c>
      <c r="DF11">
        <f t="shared" si="26"/>
        <v>1</v>
      </c>
      <c r="DG11">
        <f t="shared" si="27"/>
        <v>1</v>
      </c>
      <c r="DH11">
        <f t="shared" si="28"/>
        <v>0</v>
      </c>
      <c r="DI11">
        <f t="shared" si="29"/>
        <v>0</v>
      </c>
      <c r="DJ11">
        <f t="shared" si="30"/>
        <v>0</v>
      </c>
      <c r="DK11">
        <f t="shared" si="31"/>
        <v>1</v>
      </c>
      <c r="DL11">
        <f t="shared" si="32"/>
        <v>1</v>
      </c>
      <c r="DM11">
        <f t="shared" si="33"/>
        <v>1</v>
      </c>
      <c r="DN11">
        <f t="shared" si="34"/>
        <v>0</v>
      </c>
      <c r="DO11">
        <f t="shared" si="35"/>
        <v>0</v>
      </c>
      <c r="DP11">
        <f t="shared" si="36"/>
        <v>0</v>
      </c>
      <c r="DQ11">
        <f t="shared" si="37"/>
        <v>0</v>
      </c>
      <c r="DR11">
        <f t="shared" si="38"/>
        <v>0</v>
      </c>
      <c r="DS11">
        <f t="shared" si="39"/>
        <v>0</v>
      </c>
      <c r="DT11">
        <f t="shared" si="40"/>
        <v>0</v>
      </c>
    </row>
    <row r="12" spans="1:124">
      <c r="B12" t="str">
        <f t="shared" si="1"/>
        <v xml:space="preserve"> 0x3F,</v>
      </c>
      <c r="C12" t="str">
        <f t="shared" si="2"/>
        <v>63,</v>
      </c>
      <c r="D12" t="str">
        <f t="shared" si="3"/>
        <v>00111111</v>
      </c>
      <c r="E12">
        <v>0</v>
      </c>
      <c r="F12">
        <v>0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4"/>
        <v>10000000</v>
      </c>
      <c r="V12" t="str">
        <f t="shared" si="5"/>
        <v>128,</v>
      </c>
      <c r="W12" t="str">
        <f t="shared" si="6"/>
        <v xml:space="preserve"> 0x80,</v>
      </c>
      <c r="X12" t="s">
        <v>0</v>
      </c>
      <c r="Y12" t="s">
        <v>1</v>
      </c>
      <c r="BK12">
        <v>0</v>
      </c>
      <c r="CD12" s="5">
        <v>93</v>
      </c>
      <c r="CE12" s="5" t="str">
        <f t="shared" si="41"/>
        <v>e3</v>
      </c>
      <c r="CF12" s="5" t="str">
        <f t="shared" si="7"/>
        <v>80</v>
      </c>
      <c r="CG12" s="5">
        <v>99</v>
      </c>
      <c r="CI12" t="str">
        <f>CE3</f>
        <v>0x09, 0xff, 0x80, 0xff, 0x80, 0xe3, 0x80, 0xe3, 0x80, 0xe3, 0x80, 0xe3, 0x80, 0xe3, 0x80, 0xe3, 0x80, 0xe3, 0x80, 0xe3, 0x80, 0xe3, 0x80, 0xe3, 0x80, 0xe3, 0x80, 0xe3, 0x80, 0xff, 0x80, 0xff, 0x80,</v>
      </c>
      <c r="CJ12" t="s">
        <v>11</v>
      </c>
      <c r="CK12" t="str">
        <f t="shared" si="42"/>
        <v>11100011</v>
      </c>
      <c r="CL12" t="str">
        <f t="shared" si="43"/>
        <v>10000000</v>
      </c>
      <c r="CM12" t="str">
        <f t="shared" si="8"/>
        <v>1110001110000000</v>
      </c>
      <c r="CN12" t="str">
        <f t="shared" si="9"/>
        <v>1</v>
      </c>
      <c r="CO12" t="str">
        <f t="shared" si="10"/>
        <v>1</v>
      </c>
      <c r="CP12" t="str">
        <f t="shared" si="11"/>
        <v>1</v>
      </c>
      <c r="CQ12" t="str">
        <f t="shared" si="12"/>
        <v>0</v>
      </c>
      <c r="CR12" t="str">
        <f t="shared" si="13"/>
        <v>0</v>
      </c>
      <c r="CS12" t="str">
        <f t="shared" si="14"/>
        <v>0</v>
      </c>
      <c r="CT12" t="str">
        <f t="shared" si="15"/>
        <v>1</v>
      </c>
      <c r="CU12" t="str">
        <f t="shared" si="16"/>
        <v>1</v>
      </c>
      <c r="CV12" t="str">
        <f t="shared" si="17"/>
        <v>1</v>
      </c>
      <c r="CW12" t="str">
        <f t="shared" si="18"/>
        <v>0</v>
      </c>
      <c r="CX12" t="str">
        <f t="shared" si="19"/>
        <v>0</v>
      </c>
      <c r="CY12" t="str">
        <f t="shared" si="20"/>
        <v>0</v>
      </c>
      <c r="CZ12" t="str">
        <f t="shared" si="21"/>
        <v>0</v>
      </c>
      <c r="DA12" t="str">
        <f t="shared" si="22"/>
        <v>0</v>
      </c>
      <c r="DB12" t="str">
        <f t="shared" si="23"/>
        <v>0</v>
      </c>
      <c r="DC12" t="str">
        <f t="shared" si="24"/>
        <v>0</v>
      </c>
      <c r="DE12">
        <f t="shared" si="25"/>
        <v>1</v>
      </c>
      <c r="DF12">
        <f t="shared" si="26"/>
        <v>1</v>
      </c>
      <c r="DG12">
        <f t="shared" si="27"/>
        <v>1</v>
      </c>
      <c r="DH12">
        <f t="shared" si="28"/>
        <v>0</v>
      </c>
      <c r="DI12">
        <f t="shared" si="29"/>
        <v>0</v>
      </c>
      <c r="DJ12">
        <f t="shared" si="30"/>
        <v>0</v>
      </c>
      <c r="DK12">
        <f t="shared" si="31"/>
        <v>1</v>
      </c>
      <c r="DL12">
        <f t="shared" si="32"/>
        <v>1</v>
      </c>
      <c r="DM12">
        <f t="shared" si="33"/>
        <v>1</v>
      </c>
      <c r="DN12">
        <f t="shared" si="34"/>
        <v>0</v>
      </c>
      <c r="DO12">
        <f t="shared" si="35"/>
        <v>0</v>
      </c>
      <c r="DP12">
        <f t="shared" si="36"/>
        <v>0</v>
      </c>
      <c r="DQ12">
        <f t="shared" si="37"/>
        <v>0</v>
      </c>
      <c r="DR12">
        <f t="shared" si="38"/>
        <v>0</v>
      </c>
      <c r="DS12">
        <f t="shared" si="39"/>
        <v>0</v>
      </c>
      <c r="DT12">
        <f t="shared" si="40"/>
        <v>0</v>
      </c>
    </row>
    <row r="13" spans="1:124">
      <c r="B13" t="str">
        <f t="shared" si="1"/>
        <v xml:space="preserve"> 0x03,</v>
      </c>
      <c r="C13" t="str">
        <f t="shared" si="2"/>
        <v>3,</v>
      </c>
      <c r="D13" t="str">
        <f t="shared" si="3"/>
        <v>00000011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1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4"/>
        <v>10000000</v>
      </c>
      <c r="V13" t="str">
        <f t="shared" si="5"/>
        <v>128,</v>
      </c>
      <c r="W13" t="str">
        <f t="shared" si="6"/>
        <v xml:space="preserve"> 0x80,</v>
      </c>
      <c r="X13" t="s">
        <v>0</v>
      </c>
      <c r="Y13" t="s">
        <v>1</v>
      </c>
      <c r="CD13" s="5">
        <v>105</v>
      </c>
      <c r="CE13" s="5" t="str">
        <f t="shared" si="41"/>
        <v>e3</v>
      </c>
      <c r="CF13" s="5" t="str">
        <f t="shared" si="7"/>
        <v>80</v>
      </c>
      <c r="CG13" s="5">
        <v>111</v>
      </c>
      <c r="CI13" t="str">
        <f>CE3</f>
        <v>0x09, 0xff, 0x80, 0xff, 0x80, 0xe3, 0x80, 0xe3, 0x80, 0xe3, 0x80, 0xe3, 0x80, 0xe3, 0x80, 0xe3, 0x80, 0xe3, 0x80, 0xe3, 0x80, 0xe3, 0x80, 0xe3, 0x80, 0xe3, 0x80, 0xe3, 0x80, 0xff, 0x80, 0xff, 0x80,</v>
      </c>
      <c r="CJ13" t="s">
        <v>11</v>
      </c>
      <c r="CK13" t="str">
        <f t="shared" si="42"/>
        <v>11100011</v>
      </c>
      <c r="CL13" t="str">
        <f t="shared" si="43"/>
        <v>10000000</v>
      </c>
      <c r="CM13" t="str">
        <f t="shared" si="8"/>
        <v>1110001110000000</v>
      </c>
      <c r="CN13" t="str">
        <f t="shared" si="9"/>
        <v>1</v>
      </c>
      <c r="CO13" t="str">
        <f t="shared" si="10"/>
        <v>1</v>
      </c>
      <c r="CP13" t="str">
        <f t="shared" si="11"/>
        <v>1</v>
      </c>
      <c r="CQ13" t="str">
        <f t="shared" si="12"/>
        <v>0</v>
      </c>
      <c r="CR13" t="str">
        <f t="shared" si="13"/>
        <v>0</v>
      </c>
      <c r="CS13" t="str">
        <f t="shared" si="14"/>
        <v>0</v>
      </c>
      <c r="CT13" t="str">
        <f t="shared" si="15"/>
        <v>1</v>
      </c>
      <c r="CU13" t="str">
        <f t="shared" si="16"/>
        <v>1</v>
      </c>
      <c r="CV13" t="str">
        <f t="shared" si="17"/>
        <v>1</v>
      </c>
      <c r="CW13" t="str">
        <f t="shared" si="18"/>
        <v>0</v>
      </c>
      <c r="CX13" t="str">
        <f t="shared" si="19"/>
        <v>0</v>
      </c>
      <c r="CY13" t="str">
        <f t="shared" si="20"/>
        <v>0</v>
      </c>
      <c r="CZ13" t="str">
        <f t="shared" si="21"/>
        <v>0</v>
      </c>
      <c r="DA13" t="str">
        <f t="shared" si="22"/>
        <v>0</v>
      </c>
      <c r="DB13" t="str">
        <f t="shared" si="23"/>
        <v>0</v>
      </c>
      <c r="DC13" t="str">
        <f t="shared" si="24"/>
        <v>0</v>
      </c>
      <c r="DE13">
        <f t="shared" si="25"/>
        <v>1</v>
      </c>
      <c r="DF13">
        <f t="shared" si="26"/>
        <v>1</v>
      </c>
      <c r="DG13">
        <f t="shared" si="27"/>
        <v>1</v>
      </c>
      <c r="DH13">
        <f t="shared" si="28"/>
        <v>0</v>
      </c>
      <c r="DI13">
        <f t="shared" si="29"/>
        <v>0</v>
      </c>
      <c r="DJ13">
        <f t="shared" si="30"/>
        <v>0</v>
      </c>
      <c r="DK13">
        <f t="shared" si="31"/>
        <v>1</v>
      </c>
      <c r="DL13">
        <f t="shared" si="32"/>
        <v>1</v>
      </c>
      <c r="DM13">
        <f t="shared" si="33"/>
        <v>1</v>
      </c>
      <c r="DN13">
        <f t="shared" si="34"/>
        <v>0</v>
      </c>
      <c r="DO13">
        <f t="shared" si="35"/>
        <v>0</v>
      </c>
      <c r="DP13">
        <f t="shared" si="36"/>
        <v>0</v>
      </c>
      <c r="DQ13">
        <f t="shared" si="37"/>
        <v>0</v>
      </c>
      <c r="DR13">
        <f t="shared" si="38"/>
        <v>0</v>
      </c>
      <c r="DS13">
        <f t="shared" si="39"/>
        <v>0</v>
      </c>
      <c r="DT13">
        <f t="shared" si="40"/>
        <v>0</v>
      </c>
    </row>
    <row r="14" spans="1:124">
      <c r="B14" t="str">
        <f t="shared" si="1"/>
        <v xml:space="preserve"> 0x01,</v>
      </c>
      <c r="C14" t="str">
        <f t="shared" si="2"/>
        <v>1,</v>
      </c>
      <c r="D14" t="str">
        <f t="shared" si="3"/>
        <v>00000001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4"/>
        <v>10000000</v>
      </c>
      <c r="V14" t="str">
        <f t="shared" si="5"/>
        <v>128,</v>
      </c>
      <c r="W14" t="str">
        <f t="shared" si="6"/>
        <v xml:space="preserve"> 0x80,</v>
      </c>
      <c r="X14" t="s">
        <v>0</v>
      </c>
      <c r="Y14" t="s">
        <v>1</v>
      </c>
      <c r="CD14" s="5">
        <v>117</v>
      </c>
      <c r="CE14" s="5" t="str">
        <f t="shared" si="41"/>
        <v>e3</v>
      </c>
      <c r="CF14" s="5" t="str">
        <f t="shared" si="7"/>
        <v>80</v>
      </c>
      <c r="CG14" s="5">
        <v>123</v>
      </c>
      <c r="CI14" t="str">
        <f>CE3</f>
        <v>0x09, 0xff, 0x80, 0xff, 0x80, 0xe3, 0x80, 0xe3, 0x80, 0xe3, 0x80, 0xe3, 0x80, 0xe3, 0x80, 0xe3, 0x80, 0xe3, 0x80, 0xe3, 0x80, 0xe3, 0x80, 0xe3, 0x80, 0xe3, 0x80, 0xe3, 0x80, 0xff, 0x80, 0xff, 0x80,</v>
      </c>
      <c r="CJ14" t="s">
        <v>11</v>
      </c>
      <c r="CK14" t="str">
        <f t="shared" si="42"/>
        <v>11100011</v>
      </c>
      <c r="CL14" t="str">
        <f t="shared" si="43"/>
        <v>10000000</v>
      </c>
      <c r="CM14" t="str">
        <f t="shared" si="8"/>
        <v>1110001110000000</v>
      </c>
      <c r="CN14" t="str">
        <f t="shared" si="9"/>
        <v>1</v>
      </c>
      <c r="CO14" t="str">
        <f t="shared" si="10"/>
        <v>1</v>
      </c>
      <c r="CP14" t="str">
        <f t="shared" si="11"/>
        <v>1</v>
      </c>
      <c r="CQ14" t="str">
        <f t="shared" si="12"/>
        <v>0</v>
      </c>
      <c r="CR14" t="str">
        <f t="shared" si="13"/>
        <v>0</v>
      </c>
      <c r="CS14" t="str">
        <f t="shared" si="14"/>
        <v>0</v>
      </c>
      <c r="CT14" t="str">
        <f t="shared" si="15"/>
        <v>1</v>
      </c>
      <c r="CU14" t="str">
        <f t="shared" si="16"/>
        <v>1</v>
      </c>
      <c r="CV14" t="str">
        <f t="shared" si="17"/>
        <v>1</v>
      </c>
      <c r="CW14" t="str">
        <f t="shared" si="18"/>
        <v>0</v>
      </c>
      <c r="CX14" t="str">
        <f t="shared" si="19"/>
        <v>0</v>
      </c>
      <c r="CY14" t="str">
        <f t="shared" si="20"/>
        <v>0</v>
      </c>
      <c r="CZ14" t="str">
        <f t="shared" si="21"/>
        <v>0</v>
      </c>
      <c r="DA14" t="str">
        <f t="shared" si="22"/>
        <v>0</v>
      </c>
      <c r="DB14" t="str">
        <f t="shared" si="23"/>
        <v>0</v>
      </c>
      <c r="DC14" t="str">
        <f t="shared" si="24"/>
        <v>0</v>
      </c>
      <c r="DE14">
        <f t="shared" si="25"/>
        <v>1</v>
      </c>
      <c r="DF14">
        <f t="shared" si="26"/>
        <v>1</v>
      </c>
      <c r="DG14">
        <f t="shared" si="27"/>
        <v>1</v>
      </c>
      <c r="DH14">
        <f t="shared" si="28"/>
        <v>0</v>
      </c>
      <c r="DI14">
        <f t="shared" si="29"/>
        <v>0</v>
      </c>
      <c r="DJ14">
        <f t="shared" si="30"/>
        <v>0</v>
      </c>
      <c r="DK14">
        <f t="shared" si="31"/>
        <v>1</v>
      </c>
      <c r="DL14">
        <f t="shared" si="32"/>
        <v>1</v>
      </c>
      <c r="DM14">
        <f t="shared" si="33"/>
        <v>1</v>
      </c>
      <c r="DN14">
        <f t="shared" si="34"/>
        <v>0</v>
      </c>
      <c r="DO14">
        <f t="shared" si="35"/>
        <v>0</v>
      </c>
      <c r="DP14">
        <f t="shared" si="36"/>
        <v>0</v>
      </c>
      <c r="DQ14">
        <f t="shared" si="37"/>
        <v>0</v>
      </c>
      <c r="DR14">
        <f t="shared" si="38"/>
        <v>0</v>
      </c>
      <c r="DS14">
        <f t="shared" si="39"/>
        <v>0</v>
      </c>
      <c r="DT14">
        <f t="shared" si="40"/>
        <v>0</v>
      </c>
    </row>
    <row r="15" spans="1:124">
      <c r="B15" t="str">
        <f t="shared" si="1"/>
        <v xml:space="preserve"> 0x01,</v>
      </c>
      <c r="C15" t="str">
        <f t="shared" si="2"/>
        <v>1,</v>
      </c>
      <c r="D15" t="str">
        <f t="shared" si="3"/>
        <v>00000001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1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4"/>
        <v>10000000</v>
      </c>
      <c r="V15" t="str">
        <f t="shared" si="5"/>
        <v>128,</v>
      </c>
      <c r="W15" t="str">
        <f t="shared" si="6"/>
        <v xml:space="preserve"> 0x80,</v>
      </c>
      <c r="X15" t="s">
        <v>0</v>
      </c>
      <c r="Y15" t="s">
        <v>1</v>
      </c>
      <c r="CD15" s="5">
        <v>129</v>
      </c>
      <c r="CE15" s="5" t="str">
        <f t="shared" si="41"/>
        <v>e3</v>
      </c>
      <c r="CF15" s="5" t="str">
        <f t="shared" si="7"/>
        <v>80</v>
      </c>
      <c r="CG15" s="5">
        <v>135</v>
      </c>
      <c r="CI15" t="str">
        <f>CE3</f>
        <v>0x09, 0xff, 0x80, 0xff, 0x80, 0xe3, 0x80, 0xe3, 0x80, 0xe3, 0x80, 0xe3, 0x80, 0xe3, 0x80, 0xe3, 0x80, 0xe3, 0x80, 0xe3, 0x80, 0xe3, 0x80, 0xe3, 0x80, 0xe3, 0x80, 0xe3, 0x80, 0xff, 0x80, 0xff, 0x80,</v>
      </c>
      <c r="CJ15" t="s">
        <v>11</v>
      </c>
      <c r="CK15" t="str">
        <f t="shared" si="42"/>
        <v>11100011</v>
      </c>
      <c r="CL15" t="str">
        <f t="shared" si="43"/>
        <v>10000000</v>
      </c>
      <c r="CM15" t="str">
        <f t="shared" si="8"/>
        <v>1110001110000000</v>
      </c>
      <c r="CN15" t="str">
        <f t="shared" si="9"/>
        <v>1</v>
      </c>
      <c r="CO15" t="str">
        <f t="shared" si="10"/>
        <v>1</v>
      </c>
      <c r="CP15" t="str">
        <f t="shared" si="11"/>
        <v>1</v>
      </c>
      <c r="CQ15" t="str">
        <f t="shared" si="12"/>
        <v>0</v>
      </c>
      <c r="CR15" t="str">
        <f t="shared" si="13"/>
        <v>0</v>
      </c>
      <c r="CS15" t="str">
        <f t="shared" si="14"/>
        <v>0</v>
      </c>
      <c r="CT15" t="str">
        <f t="shared" si="15"/>
        <v>1</v>
      </c>
      <c r="CU15" t="str">
        <f t="shared" si="16"/>
        <v>1</v>
      </c>
      <c r="CV15" t="str">
        <f t="shared" si="17"/>
        <v>1</v>
      </c>
      <c r="CW15" t="str">
        <f t="shared" si="18"/>
        <v>0</v>
      </c>
      <c r="CX15" t="str">
        <f t="shared" si="19"/>
        <v>0</v>
      </c>
      <c r="CY15" t="str">
        <f t="shared" si="20"/>
        <v>0</v>
      </c>
      <c r="CZ15" t="str">
        <f t="shared" si="21"/>
        <v>0</v>
      </c>
      <c r="DA15" t="str">
        <f t="shared" si="22"/>
        <v>0</v>
      </c>
      <c r="DB15" t="str">
        <f t="shared" si="23"/>
        <v>0</v>
      </c>
      <c r="DC15" t="str">
        <f t="shared" si="24"/>
        <v>0</v>
      </c>
      <c r="DE15">
        <f t="shared" si="25"/>
        <v>1</v>
      </c>
      <c r="DF15">
        <f t="shared" si="26"/>
        <v>1</v>
      </c>
      <c r="DG15">
        <f t="shared" si="27"/>
        <v>1</v>
      </c>
      <c r="DH15">
        <f t="shared" si="28"/>
        <v>0</v>
      </c>
      <c r="DI15">
        <f t="shared" si="29"/>
        <v>0</v>
      </c>
      <c r="DJ15">
        <f t="shared" si="30"/>
        <v>0</v>
      </c>
      <c r="DK15">
        <f t="shared" si="31"/>
        <v>1</v>
      </c>
      <c r="DL15">
        <f t="shared" si="32"/>
        <v>1</v>
      </c>
      <c r="DM15">
        <f t="shared" si="33"/>
        <v>1</v>
      </c>
      <c r="DN15">
        <f t="shared" si="34"/>
        <v>0</v>
      </c>
      <c r="DO15">
        <f t="shared" si="35"/>
        <v>0</v>
      </c>
      <c r="DP15">
        <f t="shared" si="36"/>
        <v>0</v>
      </c>
      <c r="DQ15">
        <f t="shared" si="37"/>
        <v>0</v>
      </c>
      <c r="DR15">
        <f t="shared" si="38"/>
        <v>0</v>
      </c>
      <c r="DS15">
        <f t="shared" si="39"/>
        <v>0</v>
      </c>
      <c r="DT15">
        <f t="shared" si="40"/>
        <v>0</v>
      </c>
    </row>
    <row r="16" spans="1:124">
      <c r="B16" t="str">
        <f t="shared" si="1"/>
        <v xml:space="preserve"> 0x01,</v>
      </c>
      <c r="C16" t="str">
        <f t="shared" si="2"/>
        <v>1,</v>
      </c>
      <c r="D16" t="str">
        <f t="shared" si="3"/>
        <v>00000001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4"/>
        <v>10000000</v>
      </c>
      <c r="V16" t="str">
        <f t="shared" si="5"/>
        <v>128,</v>
      </c>
      <c r="W16" t="str">
        <f t="shared" si="6"/>
        <v xml:space="preserve"> 0x80,</v>
      </c>
      <c r="X16" t="s">
        <v>0</v>
      </c>
      <c r="Y16" t="s">
        <v>1</v>
      </c>
      <c r="CD16" s="5">
        <v>141</v>
      </c>
      <c r="CE16" s="5" t="str">
        <f t="shared" si="41"/>
        <v>e3</v>
      </c>
      <c r="CF16" s="5" t="str">
        <f t="shared" si="7"/>
        <v>80</v>
      </c>
      <c r="CG16" s="5">
        <v>147</v>
      </c>
      <c r="CI16" t="str">
        <f>CE3</f>
        <v>0x09, 0xff, 0x80, 0xff, 0x80, 0xe3, 0x80, 0xe3, 0x80, 0xe3, 0x80, 0xe3, 0x80, 0xe3, 0x80, 0xe3, 0x80, 0xe3, 0x80, 0xe3, 0x80, 0xe3, 0x80, 0xe3, 0x80, 0xe3, 0x80, 0xe3, 0x80, 0xff, 0x80, 0xff, 0x80,</v>
      </c>
      <c r="CJ16" t="s">
        <v>11</v>
      </c>
      <c r="CK16" t="str">
        <f t="shared" si="42"/>
        <v>11100011</v>
      </c>
      <c r="CL16" t="str">
        <f t="shared" si="43"/>
        <v>10000000</v>
      </c>
      <c r="CM16" t="str">
        <f t="shared" si="8"/>
        <v>1110001110000000</v>
      </c>
      <c r="CN16" t="str">
        <f t="shared" si="9"/>
        <v>1</v>
      </c>
      <c r="CO16" t="str">
        <f t="shared" si="10"/>
        <v>1</v>
      </c>
      <c r="CP16" t="str">
        <f t="shared" si="11"/>
        <v>1</v>
      </c>
      <c r="CQ16" t="str">
        <f t="shared" si="12"/>
        <v>0</v>
      </c>
      <c r="CR16" t="str">
        <f t="shared" si="13"/>
        <v>0</v>
      </c>
      <c r="CS16" t="str">
        <f t="shared" si="14"/>
        <v>0</v>
      </c>
      <c r="CT16" t="str">
        <f t="shared" si="15"/>
        <v>1</v>
      </c>
      <c r="CU16" t="str">
        <f t="shared" si="16"/>
        <v>1</v>
      </c>
      <c r="CV16" t="str">
        <f t="shared" si="17"/>
        <v>1</v>
      </c>
      <c r="CW16" t="str">
        <f t="shared" si="18"/>
        <v>0</v>
      </c>
      <c r="CX16" t="str">
        <f t="shared" si="19"/>
        <v>0</v>
      </c>
      <c r="CY16" t="str">
        <f t="shared" si="20"/>
        <v>0</v>
      </c>
      <c r="CZ16" t="str">
        <f t="shared" si="21"/>
        <v>0</v>
      </c>
      <c r="DA16" t="str">
        <f t="shared" si="22"/>
        <v>0</v>
      </c>
      <c r="DB16" t="str">
        <f t="shared" si="23"/>
        <v>0</v>
      </c>
      <c r="DC16" t="str">
        <f t="shared" si="24"/>
        <v>0</v>
      </c>
      <c r="DE16">
        <f t="shared" si="25"/>
        <v>1</v>
      </c>
      <c r="DF16">
        <f t="shared" si="26"/>
        <v>1</v>
      </c>
      <c r="DG16">
        <f t="shared" si="27"/>
        <v>1</v>
      </c>
      <c r="DH16">
        <f t="shared" si="28"/>
        <v>0</v>
      </c>
      <c r="DI16">
        <f t="shared" si="29"/>
        <v>0</v>
      </c>
      <c r="DJ16">
        <f t="shared" si="30"/>
        <v>0</v>
      </c>
      <c r="DK16">
        <f t="shared" si="31"/>
        <v>1</v>
      </c>
      <c r="DL16">
        <f t="shared" si="32"/>
        <v>1</v>
      </c>
      <c r="DM16">
        <f t="shared" si="33"/>
        <v>1</v>
      </c>
      <c r="DN16">
        <f t="shared" si="34"/>
        <v>0</v>
      </c>
      <c r="DO16">
        <f t="shared" si="35"/>
        <v>0</v>
      </c>
      <c r="DP16">
        <f t="shared" si="36"/>
        <v>0</v>
      </c>
      <c r="DQ16">
        <f t="shared" si="37"/>
        <v>0</v>
      </c>
      <c r="DR16">
        <f t="shared" si="38"/>
        <v>0</v>
      </c>
      <c r="DS16">
        <f t="shared" si="39"/>
        <v>0</v>
      </c>
      <c r="DT16">
        <f t="shared" si="40"/>
        <v>0</v>
      </c>
    </row>
    <row r="17" spans="1:124">
      <c r="B17" t="str">
        <f t="shared" si="1"/>
        <v xml:space="preserve"> 0xC1,</v>
      </c>
      <c r="C17" t="str">
        <f t="shared" si="2"/>
        <v>193,</v>
      </c>
      <c r="D17" t="str">
        <f t="shared" si="3"/>
        <v>11000001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4"/>
        <v>10000000</v>
      </c>
      <c r="V17" t="str">
        <f t="shared" si="5"/>
        <v>128,</v>
      </c>
      <c r="W17" t="str">
        <f t="shared" si="6"/>
        <v xml:space="preserve"> 0x80,</v>
      </c>
      <c r="X17" t="s">
        <v>0</v>
      </c>
      <c r="Y17" t="s">
        <v>1</v>
      </c>
      <c r="CD17" s="5">
        <v>153</v>
      </c>
      <c r="CE17" s="5" t="str">
        <f t="shared" si="41"/>
        <v>e3</v>
      </c>
      <c r="CF17" s="5" t="str">
        <f t="shared" si="7"/>
        <v>80</v>
      </c>
      <c r="CG17" s="5">
        <v>159</v>
      </c>
      <c r="CI17" t="str">
        <f>CE3</f>
        <v>0x09, 0xff, 0x80, 0xff, 0x80, 0xe3, 0x80, 0xe3, 0x80, 0xe3, 0x80, 0xe3, 0x80, 0xe3, 0x80, 0xe3, 0x80, 0xe3, 0x80, 0xe3, 0x80, 0xe3, 0x80, 0xe3, 0x80, 0xe3, 0x80, 0xe3, 0x80, 0xff, 0x80, 0xff, 0x80,</v>
      </c>
      <c r="CJ17" t="s">
        <v>11</v>
      </c>
      <c r="CK17" t="str">
        <f t="shared" si="42"/>
        <v>11100011</v>
      </c>
      <c r="CL17" t="str">
        <f t="shared" si="43"/>
        <v>10000000</v>
      </c>
      <c r="CM17" t="str">
        <f t="shared" si="8"/>
        <v>1110001110000000</v>
      </c>
      <c r="CN17" t="str">
        <f t="shared" si="9"/>
        <v>1</v>
      </c>
      <c r="CO17" t="str">
        <f t="shared" si="10"/>
        <v>1</v>
      </c>
      <c r="CP17" t="str">
        <f t="shared" si="11"/>
        <v>1</v>
      </c>
      <c r="CQ17" t="str">
        <f t="shared" si="12"/>
        <v>0</v>
      </c>
      <c r="CR17" t="str">
        <f t="shared" si="13"/>
        <v>0</v>
      </c>
      <c r="CS17" t="str">
        <f t="shared" si="14"/>
        <v>0</v>
      </c>
      <c r="CT17" t="str">
        <f t="shared" si="15"/>
        <v>1</v>
      </c>
      <c r="CU17" t="str">
        <f t="shared" si="16"/>
        <v>1</v>
      </c>
      <c r="CV17" t="str">
        <f t="shared" si="17"/>
        <v>1</v>
      </c>
      <c r="CW17" t="str">
        <f t="shared" si="18"/>
        <v>0</v>
      </c>
      <c r="CX17" t="str">
        <f t="shared" si="19"/>
        <v>0</v>
      </c>
      <c r="CY17" t="str">
        <f t="shared" si="20"/>
        <v>0</v>
      </c>
      <c r="CZ17" t="str">
        <f t="shared" si="21"/>
        <v>0</v>
      </c>
      <c r="DA17" t="str">
        <f t="shared" si="22"/>
        <v>0</v>
      </c>
      <c r="DB17" t="str">
        <f t="shared" si="23"/>
        <v>0</v>
      </c>
      <c r="DC17" t="str">
        <f t="shared" si="24"/>
        <v>0</v>
      </c>
      <c r="DE17">
        <f t="shared" si="25"/>
        <v>1</v>
      </c>
      <c r="DF17">
        <f t="shared" si="26"/>
        <v>1</v>
      </c>
      <c r="DG17">
        <f t="shared" si="27"/>
        <v>1</v>
      </c>
      <c r="DH17">
        <f t="shared" si="28"/>
        <v>0</v>
      </c>
      <c r="DI17">
        <f t="shared" si="29"/>
        <v>0</v>
      </c>
      <c r="DJ17">
        <f t="shared" si="30"/>
        <v>0</v>
      </c>
      <c r="DK17">
        <f t="shared" si="31"/>
        <v>1</v>
      </c>
      <c r="DL17">
        <f t="shared" si="32"/>
        <v>1</v>
      </c>
      <c r="DM17">
        <f t="shared" si="33"/>
        <v>1</v>
      </c>
      <c r="DN17">
        <f t="shared" si="34"/>
        <v>0</v>
      </c>
      <c r="DO17">
        <f t="shared" si="35"/>
        <v>0</v>
      </c>
      <c r="DP17">
        <f t="shared" si="36"/>
        <v>0</v>
      </c>
      <c r="DQ17">
        <f t="shared" si="37"/>
        <v>0</v>
      </c>
      <c r="DR17">
        <f t="shared" si="38"/>
        <v>0</v>
      </c>
      <c r="DS17">
        <f t="shared" si="39"/>
        <v>0</v>
      </c>
      <c r="DT17">
        <f t="shared" si="40"/>
        <v>0</v>
      </c>
    </row>
    <row r="18" spans="1:124">
      <c r="B18" t="str">
        <f t="shared" si="1"/>
        <v xml:space="preserve"> 0xE3,</v>
      </c>
      <c r="C18" t="str">
        <f t="shared" si="2"/>
        <v>227,</v>
      </c>
      <c r="D18" t="str">
        <f t="shared" si="3"/>
        <v>11100011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4"/>
        <v>10000000</v>
      </c>
      <c r="V18" t="str">
        <f t="shared" si="5"/>
        <v>128,</v>
      </c>
      <c r="W18" t="str">
        <f t="shared" si="6"/>
        <v xml:space="preserve"> 0x80,</v>
      </c>
      <c r="X18" t="s">
        <v>0</v>
      </c>
      <c r="Y18" t="s">
        <v>1</v>
      </c>
      <c r="CD18" s="5">
        <v>165</v>
      </c>
      <c r="CE18" s="5" t="str">
        <f t="shared" si="41"/>
        <v>e3</v>
      </c>
      <c r="CF18" s="5" t="str">
        <f t="shared" si="7"/>
        <v>80</v>
      </c>
      <c r="CG18" s="5">
        <v>171</v>
      </c>
      <c r="CI18" t="str">
        <f>CE3</f>
        <v>0x09, 0xff, 0x80, 0xff, 0x80, 0xe3, 0x80, 0xe3, 0x80, 0xe3, 0x80, 0xe3, 0x80, 0xe3, 0x80, 0xe3, 0x80, 0xe3, 0x80, 0xe3, 0x80, 0xe3, 0x80, 0xe3, 0x80, 0xe3, 0x80, 0xe3, 0x80, 0xff, 0x80, 0xff, 0x80,</v>
      </c>
      <c r="CJ18" t="s">
        <v>11</v>
      </c>
      <c r="CK18" t="str">
        <f t="shared" si="42"/>
        <v>11100011</v>
      </c>
      <c r="CL18" t="str">
        <f t="shared" si="43"/>
        <v>10000000</v>
      </c>
      <c r="CM18" t="str">
        <f t="shared" si="8"/>
        <v>1110001110000000</v>
      </c>
      <c r="CN18" t="str">
        <f t="shared" si="9"/>
        <v>1</v>
      </c>
      <c r="CO18" t="str">
        <f t="shared" si="10"/>
        <v>1</v>
      </c>
      <c r="CP18" t="str">
        <f t="shared" si="11"/>
        <v>1</v>
      </c>
      <c r="CQ18" t="str">
        <f t="shared" si="12"/>
        <v>0</v>
      </c>
      <c r="CR18" t="str">
        <f t="shared" si="13"/>
        <v>0</v>
      </c>
      <c r="CS18" t="str">
        <f t="shared" si="14"/>
        <v>0</v>
      </c>
      <c r="CT18" t="str">
        <f t="shared" si="15"/>
        <v>1</v>
      </c>
      <c r="CU18" t="str">
        <f t="shared" si="16"/>
        <v>1</v>
      </c>
      <c r="CV18" t="str">
        <f t="shared" si="17"/>
        <v>1</v>
      </c>
      <c r="CW18" t="str">
        <f t="shared" si="18"/>
        <v>0</v>
      </c>
      <c r="CX18" t="str">
        <f t="shared" si="19"/>
        <v>0</v>
      </c>
      <c r="CY18" t="str">
        <f t="shared" si="20"/>
        <v>0</v>
      </c>
      <c r="CZ18" t="str">
        <f t="shared" si="21"/>
        <v>0</v>
      </c>
      <c r="DA18" t="str">
        <f t="shared" si="22"/>
        <v>0</v>
      </c>
      <c r="DB18" t="str">
        <f t="shared" si="23"/>
        <v>0</v>
      </c>
      <c r="DC18" t="str">
        <f t="shared" si="24"/>
        <v>0</v>
      </c>
      <c r="DE18">
        <f t="shared" si="25"/>
        <v>1</v>
      </c>
      <c r="DF18">
        <f t="shared" si="26"/>
        <v>1</v>
      </c>
      <c r="DG18">
        <f t="shared" si="27"/>
        <v>1</v>
      </c>
      <c r="DH18">
        <f t="shared" si="28"/>
        <v>0</v>
      </c>
      <c r="DI18">
        <f t="shared" si="29"/>
        <v>0</v>
      </c>
      <c r="DJ18">
        <f t="shared" si="30"/>
        <v>0</v>
      </c>
      <c r="DK18">
        <f t="shared" si="31"/>
        <v>1</v>
      </c>
      <c r="DL18">
        <f t="shared" si="32"/>
        <v>1</v>
      </c>
      <c r="DM18">
        <f t="shared" si="33"/>
        <v>1</v>
      </c>
      <c r="DN18">
        <f t="shared" si="34"/>
        <v>0</v>
      </c>
      <c r="DO18">
        <f t="shared" si="35"/>
        <v>0</v>
      </c>
      <c r="DP18">
        <f t="shared" si="36"/>
        <v>0</v>
      </c>
      <c r="DQ18">
        <f t="shared" si="37"/>
        <v>0</v>
      </c>
      <c r="DR18">
        <f t="shared" si="38"/>
        <v>0</v>
      </c>
      <c r="DS18">
        <f t="shared" si="39"/>
        <v>0</v>
      </c>
      <c r="DT18">
        <f t="shared" si="40"/>
        <v>0</v>
      </c>
    </row>
    <row r="19" spans="1:124">
      <c r="B19" t="str">
        <f t="shared" si="1"/>
        <v xml:space="preserve"> 0x7F,</v>
      </c>
      <c r="C19" t="str">
        <f t="shared" si="2"/>
        <v>127,</v>
      </c>
      <c r="D19" t="str">
        <f t="shared" si="3"/>
        <v>01111111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4"/>
        <v>00000000</v>
      </c>
      <c r="V19" t="str">
        <f t="shared" si="5"/>
        <v>0,</v>
      </c>
      <c r="W19" t="str">
        <f t="shared" si="6"/>
        <v xml:space="preserve"> 0x00,</v>
      </c>
      <c r="X19" t="s">
        <v>0</v>
      </c>
      <c r="Y19" t="s">
        <v>1</v>
      </c>
      <c r="BG19">
        <v>0</v>
      </c>
      <c r="CD19" s="5">
        <v>177</v>
      </c>
      <c r="CE19" s="5" t="str">
        <f t="shared" si="41"/>
        <v>ff</v>
      </c>
      <c r="CF19" s="5" t="str">
        <f t="shared" si="7"/>
        <v>80</v>
      </c>
      <c r="CG19" s="5">
        <v>183</v>
      </c>
      <c r="CI19" t="str">
        <f>CE3</f>
        <v>0x09, 0xff, 0x80, 0xff, 0x80, 0xe3, 0x80, 0xe3, 0x80, 0xe3, 0x80, 0xe3, 0x80, 0xe3, 0x80, 0xe3, 0x80, 0xe3, 0x80, 0xe3, 0x80, 0xe3, 0x80, 0xe3, 0x80, 0xe3, 0x80, 0xe3, 0x80, 0xff, 0x80, 0xff, 0x80,</v>
      </c>
      <c r="CJ19" t="s">
        <v>11</v>
      </c>
      <c r="CK19" t="str">
        <f t="shared" si="42"/>
        <v>11111111</v>
      </c>
      <c r="CL19" t="str">
        <f t="shared" si="43"/>
        <v>10000000</v>
      </c>
      <c r="CM19" t="str">
        <f t="shared" si="8"/>
        <v>1111111110000000</v>
      </c>
      <c r="CN19" t="str">
        <f t="shared" si="9"/>
        <v>1</v>
      </c>
      <c r="CO19" t="str">
        <f t="shared" si="10"/>
        <v>1</v>
      </c>
      <c r="CP19" t="str">
        <f t="shared" si="11"/>
        <v>1</v>
      </c>
      <c r="CQ19" t="str">
        <f t="shared" si="12"/>
        <v>1</v>
      </c>
      <c r="CR19" t="str">
        <f t="shared" si="13"/>
        <v>1</v>
      </c>
      <c r="CS19" t="str">
        <f t="shared" si="14"/>
        <v>1</v>
      </c>
      <c r="CT19" t="str">
        <f t="shared" si="15"/>
        <v>1</v>
      </c>
      <c r="CU19" t="str">
        <f t="shared" si="16"/>
        <v>1</v>
      </c>
      <c r="CV19" t="str">
        <f t="shared" si="17"/>
        <v>1</v>
      </c>
      <c r="CW19" t="str">
        <f t="shared" si="18"/>
        <v>0</v>
      </c>
      <c r="CX19" t="str">
        <f t="shared" si="19"/>
        <v>0</v>
      </c>
      <c r="CY19" t="str">
        <f t="shared" si="20"/>
        <v>0</v>
      </c>
      <c r="CZ19" t="str">
        <f t="shared" si="21"/>
        <v>0</v>
      </c>
      <c r="DA19" t="str">
        <f t="shared" si="22"/>
        <v>0</v>
      </c>
      <c r="DB19" t="str">
        <f t="shared" si="23"/>
        <v>0</v>
      </c>
      <c r="DC19" t="str">
        <f t="shared" si="24"/>
        <v>0</v>
      </c>
      <c r="DE19">
        <f t="shared" si="25"/>
        <v>1</v>
      </c>
      <c r="DF19">
        <f t="shared" si="26"/>
        <v>1</v>
      </c>
      <c r="DG19">
        <f t="shared" si="27"/>
        <v>1</v>
      </c>
      <c r="DH19">
        <f t="shared" si="28"/>
        <v>1</v>
      </c>
      <c r="DI19">
        <f t="shared" si="29"/>
        <v>1</v>
      </c>
      <c r="DJ19">
        <f t="shared" si="30"/>
        <v>1</v>
      </c>
      <c r="DK19">
        <f t="shared" si="31"/>
        <v>1</v>
      </c>
      <c r="DL19">
        <f t="shared" si="32"/>
        <v>1</v>
      </c>
      <c r="DM19">
        <f t="shared" si="33"/>
        <v>1</v>
      </c>
      <c r="DN19">
        <f t="shared" si="34"/>
        <v>0</v>
      </c>
      <c r="DO19">
        <f t="shared" si="35"/>
        <v>0</v>
      </c>
      <c r="DP19">
        <f t="shared" si="36"/>
        <v>0</v>
      </c>
      <c r="DQ19">
        <f t="shared" si="37"/>
        <v>0</v>
      </c>
      <c r="DR19">
        <f t="shared" si="38"/>
        <v>0</v>
      </c>
      <c r="DS19">
        <f t="shared" si="39"/>
        <v>0</v>
      </c>
      <c r="DT19">
        <f t="shared" si="40"/>
        <v>0</v>
      </c>
    </row>
    <row r="20" spans="1:124">
      <c r="B20" t="str">
        <f t="shared" si="1"/>
        <v xml:space="preserve"> 0x3E,</v>
      </c>
      <c r="C20" t="str">
        <f t="shared" si="2"/>
        <v>62,</v>
      </c>
      <c r="D20" t="str">
        <f t="shared" si="3"/>
        <v>00111110</v>
      </c>
      <c r="E20">
        <v>0</v>
      </c>
      <c r="F20">
        <v>0</v>
      </c>
      <c r="G20">
        <v>1</v>
      </c>
      <c r="H20">
        <v>1</v>
      </c>
      <c r="I20">
        <v>1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4"/>
        <v>00000000</v>
      </c>
      <c r="V20" t="str">
        <f t="shared" si="5"/>
        <v>0,</v>
      </c>
      <c r="W20" t="str">
        <f t="shared" si="6"/>
        <v xml:space="preserve"> 0x00,</v>
      </c>
      <c r="X20" t="s">
        <v>0</v>
      </c>
      <c r="Y20" t="s">
        <v>1</v>
      </c>
      <c r="CD20" s="5">
        <v>189</v>
      </c>
      <c r="CE20" s="5" t="str">
        <f t="shared" si="41"/>
        <v>ff</v>
      </c>
      <c r="CF20" s="5" t="str">
        <f t="shared" si="7"/>
        <v>80</v>
      </c>
      <c r="CG20" s="5">
        <v>195</v>
      </c>
      <c r="CI20" t="str">
        <f>CE3</f>
        <v>0x09, 0xff, 0x80, 0xff, 0x80, 0xe3, 0x80, 0xe3, 0x80, 0xe3, 0x80, 0xe3, 0x80, 0xe3, 0x80, 0xe3, 0x80, 0xe3, 0x80, 0xe3, 0x80, 0xe3, 0x80, 0xe3, 0x80, 0xe3, 0x80, 0xe3, 0x80, 0xff, 0x80, 0xff, 0x80,</v>
      </c>
      <c r="CJ20" t="s">
        <v>11</v>
      </c>
      <c r="CK20" t="str">
        <f t="shared" si="42"/>
        <v>11111111</v>
      </c>
      <c r="CL20" t="str">
        <f t="shared" si="43"/>
        <v>10000000</v>
      </c>
      <c r="CM20" t="str">
        <f t="shared" si="8"/>
        <v>1111111110000000</v>
      </c>
      <c r="CN20" t="str">
        <f t="shared" si="9"/>
        <v>1</v>
      </c>
      <c r="CO20" t="str">
        <f t="shared" si="10"/>
        <v>1</v>
      </c>
      <c r="CP20" t="str">
        <f t="shared" si="11"/>
        <v>1</v>
      </c>
      <c r="CQ20" t="str">
        <f t="shared" si="12"/>
        <v>1</v>
      </c>
      <c r="CR20" t="str">
        <f t="shared" si="13"/>
        <v>1</v>
      </c>
      <c r="CS20" t="str">
        <f t="shared" si="14"/>
        <v>1</v>
      </c>
      <c r="CT20" t="str">
        <f t="shared" si="15"/>
        <v>1</v>
      </c>
      <c r="CU20" t="str">
        <f t="shared" si="16"/>
        <v>1</v>
      </c>
      <c r="CV20" t="str">
        <f t="shared" si="17"/>
        <v>1</v>
      </c>
      <c r="CW20" t="str">
        <f t="shared" si="18"/>
        <v>0</v>
      </c>
      <c r="CX20" t="str">
        <f t="shared" si="19"/>
        <v>0</v>
      </c>
      <c r="CY20" t="str">
        <f t="shared" si="20"/>
        <v>0</v>
      </c>
      <c r="CZ20" t="str">
        <f t="shared" si="21"/>
        <v>0</v>
      </c>
      <c r="DA20" t="str">
        <f t="shared" si="22"/>
        <v>0</v>
      </c>
      <c r="DB20" t="str">
        <f t="shared" si="23"/>
        <v>0</v>
      </c>
      <c r="DC20" t="str">
        <f t="shared" si="24"/>
        <v>0</v>
      </c>
      <c r="DE20">
        <f t="shared" si="25"/>
        <v>1</v>
      </c>
      <c r="DF20">
        <f t="shared" si="26"/>
        <v>1</v>
      </c>
      <c r="DG20">
        <f t="shared" si="27"/>
        <v>1</v>
      </c>
      <c r="DH20">
        <f t="shared" si="28"/>
        <v>1</v>
      </c>
      <c r="DI20">
        <f t="shared" si="29"/>
        <v>1</v>
      </c>
      <c r="DJ20">
        <f t="shared" si="30"/>
        <v>1</v>
      </c>
      <c r="DK20">
        <f t="shared" si="31"/>
        <v>1</v>
      </c>
      <c r="DL20">
        <f t="shared" si="32"/>
        <v>1</v>
      </c>
      <c r="DM20">
        <f t="shared" si="33"/>
        <v>1</v>
      </c>
      <c r="DN20">
        <f t="shared" si="34"/>
        <v>0</v>
      </c>
      <c r="DO20">
        <f t="shared" si="35"/>
        <v>0</v>
      </c>
      <c r="DP20">
        <f t="shared" si="36"/>
        <v>0</v>
      </c>
      <c r="DQ20">
        <f t="shared" si="37"/>
        <v>0</v>
      </c>
      <c r="DR20">
        <f t="shared" si="38"/>
        <v>0</v>
      </c>
      <c r="DS20">
        <f t="shared" si="39"/>
        <v>0</v>
      </c>
      <c r="DT20">
        <f t="shared" si="40"/>
        <v>0</v>
      </c>
    </row>
    <row r="21" spans="1:124">
      <c r="CE21" t="str">
        <f t="shared" ref="CE21:CE22" si="44">MID(CE19,11,2)</f>
        <v/>
      </c>
      <c r="CK21" t="str">
        <f t="shared" si="42"/>
        <v>00000000</v>
      </c>
      <c r="CL21" t="str">
        <f t="shared" si="43"/>
        <v>00000000</v>
      </c>
      <c r="DC21" t="str">
        <f t="shared" si="24"/>
        <v/>
      </c>
    </row>
    <row r="22" spans="1:124" hidden="1">
      <c r="A22" t="s">
        <v>2</v>
      </c>
      <c r="E22">
        <f t="shared" ref="E22:S22" si="45">MAX(E5:E20)</f>
        <v>1</v>
      </c>
      <c r="F22">
        <f t="shared" si="45"/>
        <v>1</v>
      </c>
      <c r="G22">
        <f t="shared" si="45"/>
        <v>1</v>
      </c>
      <c r="H22">
        <f t="shared" si="45"/>
        <v>1</v>
      </c>
      <c r="I22">
        <f t="shared" si="45"/>
        <v>1</v>
      </c>
      <c r="J22">
        <f t="shared" si="45"/>
        <v>1</v>
      </c>
      <c r="K22">
        <f t="shared" si="45"/>
        <v>1</v>
      </c>
      <c r="L22">
        <f t="shared" si="45"/>
        <v>1</v>
      </c>
      <c r="M22">
        <f t="shared" si="45"/>
        <v>1</v>
      </c>
      <c r="N22">
        <f t="shared" si="45"/>
        <v>0</v>
      </c>
      <c r="O22">
        <f t="shared" si="45"/>
        <v>0</v>
      </c>
      <c r="P22">
        <f t="shared" si="45"/>
        <v>0</v>
      </c>
      <c r="Q22">
        <f t="shared" si="45"/>
        <v>0</v>
      </c>
      <c r="R22">
        <f t="shared" si="45"/>
        <v>0</v>
      </c>
      <c r="S22">
        <f t="shared" si="45"/>
        <v>0</v>
      </c>
      <c r="T22">
        <f>MAX(T5:T20)</f>
        <v>0</v>
      </c>
      <c r="U22" t="str">
        <f>SUM(E22:T22)&amp;X20</f>
        <v>9,</v>
      </c>
      <c r="V22" t="str">
        <f>Y20&amp;DEC2HEX(U22,2)&amp;X20</f>
        <v xml:space="preserve"> 0x09,</v>
      </c>
      <c r="CD22">
        <v>183</v>
      </c>
      <c r="CE22" t="str">
        <f t="shared" si="44"/>
        <v/>
      </c>
      <c r="CK22" t="str">
        <f t="shared" si="42"/>
        <v>00000000</v>
      </c>
      <c r="CL22" t="str">
        <f t="shared" si="43"/>
        <v>00000000</v>
      </c>
      <c r="DC22" t="str">
        <f t="shared" si="24"/>
        <v/>
      </c>
    </row>
    <row r="24" spans="1:124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9,255,128,255,128,193,128,3,0,6,0,12,0,31,0,63,128,3,128,1,128,1,128,1,128,193,128,227,128,127,0,62,0,     //  3     //  ххх</v>
      </c>
      <c r="AA24" t="s">
        <v>23</v>
      </c>
      <c r="AC24" s="1"/>
      <c r="BD24" s="1"/>
    </row>
    <row r="25" spans="1:124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0x09, 0xFF, 0x80, 0xFF, 0x80, 0xC1, 0x80, 0x03, 0x00, 0x06, 0x00, 0x0C, 0x00, 0x1F, 0x00, 0x3F, 0x80, 0x03, 0x80, 0x01, 0x80, 0x01, 0x80, 0x01, 0x80, 0xC1, 0x80, 0xE3, 0x80, 0x7F, 0x00, 0x3E, 0x00,     //  3     //  ххх</v>
      </c>
      <c r="AA25" t="s">
        <v>215</v>
      </c>
      <c r="AC25" s="2"/>
      <c r="BD25" s="2"/>
      <c r="DT25" t="s">
        <v>22</v>
      </c>
    </row>
    <row r="26" spans="1:124">
      <c r="AA26" t="s">
        <v>26</v>
      </c>
    </row>
    <row r="27" spans="1:124">
      <c r="A27" t="s">
        <v>21</v>
      </c>
      <c r="AA27" s="7" t="str">
        <f>A28</f>
        <v>9,255,128,255,128,193,128,3,0,6,0,12,0,31,0,63,128,3,128,1,128,1,128,1,128,193,128,227,128,127,0,62,0,     //  3     //  ххх</v>
      </c>
      <c r="DT27" t="s">
        <v>22</v>
      </c>
    </row>
    <row r="28" spans="1:124">
      <c r="A28" s="1" t="str">
        <f>$B$24</f>
        <v>9,255,128,255,128,193,128,3,0,6,0,12,0,31,0,63,128,3,128,1,128,1,128,1,128,193,128,227,128,127,0,62,0,     //  3     //  ххх</v>
      </c>
      <c r="E28" t="s">
        <v>4</v>
      </c>
      <c r="AB28" s="6"/>
      <c r="BC28" s="6"/>
    </row>
    <row r="29" spans="1:124">
      <c r="A29" s="2" t="str">
        <f>$B$25</f>
        <v xml:space="preserve"> 0x09, 0xFF, 0x80, 0xFF, 0x80, 0xC1, 0x80, 0x03, 0x00, 0x06, 0x00, 0x0C, 0x00, 0x1F, 0x00, 0x3F, 0x80, 0x03, 0x80, 0x01, 0x80, 0x01, 0x80, 0x01, 0x80, 0xC1, 0x80, 0xE3, 0x80, 0x7F, 0x00, 0x3E, 0x00,     //  3     //  ххх</v>
      </c>
      <c r="E29" t="s">
        <v>3</v>
      </c>
      <c r="AB29" s="6"/>
      <c r="BC29" s="6"/>
    </row>
  </sheetData>
  <conditionalFormatting sqref="CN5:DC20">
    <cfRule type="containsText" dxfId="5" priority="5" operator="containsText" text="0">
      <formula>NOT(ISERROR(SEARCH("0",CN5)))</formula>
    </cfRule>
    <cfRule type="containsText" dxfId="4" priority="6" operator="containsText" text="1">
      <formula>NOT(ISERROR(SEARCH("1",CN5)))</formula>
    </cfRule>
  </conditionalFormatting>
  <conditionalFormatting sqref="E5:T20">
    <cfRule type="cellIs" dxfId="3" priority="4" operator="equal">
      <formula>1</formula>
    </cfRule>
    <cfRule type="cellIs" dxfId="2" priority="3" operator="equal">
      <formula>0</formula>
    </cfRule>
  </conditionalFormatting>
  <conditionalFormatting sqref="DE5:DT20">
    <cfRule type="cellIs" dxfId="1" priority="2" operator="equal">
      <formula>1</formula>
    </cfRule>
    <cfRule type="cellIs" dxfId="0" priority="1" operator="equal">
      <formula>0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36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36</vt:i4>
      </vt:variant>
    </vt:vector>
  </HeadingPairs>
  <TitlesOfParts>
    <vt:vector size="36" baseType="lpstr">
      <vt:lpstr>!"</vt:lpstr>
      <vt:lpstr>#$</vt:lpstr>
      <vt:lpstr>(</vt:lpstr>
      <vt:lpstr>)+</vt:lpstr>
      <vt:lpstr>-.</vt:lpstr>
      <vt:lpstr>01</vt:lpstr>
      <vt:lpstr>234</vt:lpstr>
      <vt:lpstr>567</vt:lpstr>
      <vt:lpstr>89</vt:lpstr>
      <vt:lpstr>&lt;=</vt:lpstr>
      <vt:lpstr>&gt;@</vt:lpstr>
      <vt:lpstr>ABC</vt:lpstr>
      <vt:lpstr>DEF</vt:lpstr>
      <vt:lpstr>GHI</vt:lpstr>
      <vt:lpstr>JKL</vt:lpstr>
      <vt:lpstr>MNO</vt:lpstr>
      <vt:lpstr>PQR</vt:lpstr>
      <vt:lpstr>STU</vt:lpstr>
      <vt:lpstr>VWX</vt:lpstr>
      <vt:lpstr>YZ</vt:lpstr>
      <vt:lpstr>СКОБ</vt:lpstr>
      <vt:lpstr>_a</vt:lpstr>
      <vt:lpstr>bcd</vt:lpstr>
      <vt:lpstr>efg</vt:lpstr>
      <vt:lpstr>hij</vt:lpstr>
      <vt:lpstr>klm</vt:lpstr>
      <vt:lpstr>nop</vt:lpstr>
      <vt:lpstr>qrs</vt:lpstr>
      <vt:lpstr>tuv</vt:lpstr>
      <vt:lpstr>wxy</vt:lpstr>
      <vt:lpstr>z{</vt:lpstr>
      <vt:lpstr>}`</vt:lpstr>
      <vt:lpstr>итог</vt:lpstr>
      <vt:lpstr>оригнал</vt:lpstr>
      <vt:lpstr>обратка</vt:lpstr>
      <vt:lpstr>Лист12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2017-11-04T07:19:49Z</dcterms:modified>
</cp:coreProperties>
</file>